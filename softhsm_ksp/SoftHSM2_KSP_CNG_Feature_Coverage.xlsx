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NG Feature Matrix" sheetId="2" state="visible" r:id="rId2"/>
    <sheet xmlns:r="http://schemas.openxmlformats.org/officeDocument/2006/relationships" name="By Category" sheetId="3" state="visible" r:id="rId3"/>
    <sheet xmlns:r="http://schemas.openxmlformats.org/officeDocument/2006/relationships" name="Open Items" sheetId="4" state="visible" r:id="rId4"/>
    <sheet xmlns:r="http://schemas.openxmlformats.org/officeDocument/2006/relationships" name="Legend" sheetId="5" state="visible" r:id="rId5"/>
  </sheets>
  <definedNames>
    <definedName name="_xlnm._FilterDatabase" localSheetId="1" hidden="1">'CNG Feature Matrix'!$A$1:$K$104</definedName>
    <definedName name="_xlnm._FilterDatabase" localSheetId="3" hidden="1">'Open Items'!$A$1:$J$31</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FFFFF"/>
      <sz val="10"/>
    </font>
    <font>
      <name val="Arial"/>
      <sz val="9"/>
    </font>
    <font>
      <name val="Arial"/>
      <b val="1"/>
      <color rgb="00006100"/>
      <sz val="9"/>
    </font>
    <font>
      <name val="Arial"/>
      <b val="1"/>
      <color rgb="009C5700"/>
      <sz val="9"/>
    </font>
    <font>
      <name val="Arial"/>
      <b val="1"/>
      <color rgb="009C0006"/>
      <sz val="9"/>
    </font>
    <font>
      <name val="Arial"/>
      <b val="1"/>
      <color rgb="001F3864"/>
      <sz val="15"/>
    </font>
    <font>
      <name val="Arial"/>
      <i val="1"/>
      <color rgb="00000000"/>
      <sz val="9"/>
    </font>
    <font>
      <name val="Arial"/>
      <b val="1"/>
      <color rgb="001F3864"/>
      <sz val="12"/>
    </font>
    <font>
      <name val="Arial"/>
      <b val="1"/>
      <color rgb="00000000"/>
      <sz val="10"/>
    </font>
    <font>
      <name val="Arial"/>
      <color rgb="00000000"/>
      <sz val="9"/>
    </font>
    <font>
      <name val="Arial"/>
      <color rgb="00000000"/>
      <sz val="10"/>
    </font>
    <font>
      <name val="Arial"/>
      <b val="1"/>
      <color rgb="00000000"/>
      <sz val="9"/>
    </font>
    <font>
      <name val="Arial"/>
      <b val="1"/>
      <color rgb="001F3864"/>
      <sz val="13"/>
    </font>
    <font>
      <name val="Arial"/>
      <color rgb="00595959"/>
      <sz val="9"/>
    </font>
    <font>
      <name val="Arial"/>
      <b val="1"/>
      <color rgb="001F3864"/>
      <sz val="11"/>
    </font>
    <font>
      <name val="Arial"/>
      <b val="1"/>
      <color rgb="00FFFFFF"/>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6" fillId="0" borderId="0" applyAlignment="1" pivotButton="0" quotePrefix="0" xfId="0">
      <alignment vertical="top"/>
    </xf>
    <xf numFmtId="0" fontId="7" fillId="0" borderId="0" applyAlignment="1" pivotButton="0" quotePrefix="0" xfId="0">
      <alignment vertical="top" wrapText="1"/>
    </xf>
    <xf numFmtId="0" fontId="7" fillId="0" borderId="0" applyAlignment="1" pivotButton="0" quotePrefix="0" xfId="0">
      <alignment vertical="top"/>
    </xf>
    <xf numFmtId="0" fontId="8" fillId="0" borderId="0" applyAlignment="1" pivotButton="0" quotePrefix="0" xfId="0">
      <alignment vertical="top"/>
    </xf>
    <xf numFmtId="0" fontId="1" fillId="2" borderId="1" applyAlignment="1" pivotButton="0" quotePrefix="0" xfId="0">
      <alignment horizontal="left" vertical="center" wrapText="1"/>
    </xf>
    <xf numFmtId="0" fontId="9" fillId="0" borderId="1" applyAlignment="1" pivotButton="0" quotePrefix="0" xfId="0">
      <alignment vertical="top"/>
    </xf>
    <xf numFmtId="0" fontId="9" fillId="3" borderId="1" applyAlignment="1" pivotButton="0" quotePrefix="0" xfId="0">
      <alignment horizontal="center"/>
    </xf>
    <xf numFmtId="0" fontId="0" fillId="0" borderId="1" pivotButton="0" quotePrefix="0" xfId="0"/>
    <xf numFmtId="0" fontId="10" fillId="0" borderId="1" applyAlignment="1" pivotButton="0" quotePrefix="0" xfId="0">
      <alignment vertical="top" wrapText="1"/>
    </xf>
    <xf numFmtId="0" fontId="11" fillId="0" borderId="1" applyAlignment="1" pivotButton="0" quotePrefix="0" xfId="0">
      <alignment vertical="top"/>
    </xf>
    <xf numFmtId="0" fontId="9" fillId="4" borderId="1" applyAlignment="1" pivotButton="0" quotePrefix="0" xfId="0">
      <alignment horizontal="center"/>
    </xf>
    <xf numFmtId="164" fontId="11" fillId="0" borderId="1" applyAlignment="1" pivotButton="0" quotePrefix="0" xfId="0">
      <alignment horizontal="center"/>
    </xf>
    <xf numFmtId="0" fontId="9" fillId="5" borderId="1" applyAlignment="1" pivotButton="0" quotePrefix="0" xfId="0">
      <alignment horizontal="center"/>
    </xf>
    <xf numFmtId="0" fontId="9" fillId="6" borderId="1" applyAlignment="1" pivotButton="0" quotePrefix="0" xfId="0">
      <alignment horizontal="center"/>
    </xf>
    <xf numFmtId="0" fontId="9" fillId="0" borderId="1" applyAlignment="1" pivotButton="0" quotePrefix="0" xfId="0">
      <alignment horizontal="center"/>
    </xf>
    <xf numFmtId="0" fontId="9" fillId="3" borderId="1" applyAlignment="1" pivotButton="0" quotePrefix="0" xfId="0">
      <alignment vertical="top"/>
    </xf>
    <xf numFmtId="164" fontId="9" fillId="3" borderId="1" applyAlignment="1" pivotButton="0" quotePrefix="0" xfId="0">
      <alignment horizontal="center"/>
    </xf>
    <xf numFmtId="0" fontId="7" fillId="3" borderId="1" applyAlignment="1" pivotButton="0" quotePrefix="0" xfId="0">
      <alignment vertical="top" wrapText="1"/>
    </xf>
    <xf numFmtId="0" fontId="12" fillId="7" borderId="1" applyAlignment="1" pivotButton="0" quotePrefix="0" xfId="0">
      <alignment vertical="top"/>
    </xf>
    <xf numFmtId="0" fontId="10" fillId="7"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4" fillId="5" borderId="1" applyAlignment="1" pivotButton="0" quotePrefix="0" xfId="0">
      <alignment horizontal="center" vertical="top"/>
    </xf>
    <xf numFmtId="0" fontId="5" fillId="6" borderId="1" applyAlignment="1" pivotButton="0" quotePrefix="0" xfId="0">
      <alignment horizontal="center" vertical="top"/>
    </xf>
    <xf numFmtId="0" fontId="13" fillId="0" borderId="0" applyAlignment="1" pivotButton="0" quotePrefix="0" xfId="0">
      <alignment vertical="top"/>
    </xf>
    <xf numFmtId="0" fontId="11" fillId="0" borderId="1" applyAlignment="1" pivotButton="0" quotePrefix="0" xfId="0">
      <alignment horizontal="center"/>
    </xf>
    <xf numFmtId="0" fontId="14" fillId="0" borderId="1" applyAlignment="1" pivotButton="0" quotePrefix="0" xfId="0">
      <alignment horizontal="center" vertical="top"/>
    </xf>
    <xf numFmtId="0" fontId="4" fillId="7" borderId="1" applyAlignment="1" pivotButton="0" quotePrefix="0" xfId="0">
      <alignment horizontal="center" vertical="top"/>
    </xf>
    <xf numFmtId="0" fontId="15" fillId="0" borderId="0" applyAlignment="1" pivotButton="0" quotePrefix="0" xfId="0">
      <alignment vertical="top"/>
    </xf>
    <xf numFmtId="0" fontId="16" fillId="2" borderId="0" applyAlignment="1" pivotButton="0" quotePrefix="0" xfId="0">
      <alignment vertical="top"/>
    </xf>
    <xf numFmtId="0" fontId="12" fillId="0" borderId="0" applyAlignment="1" pivotButton="0" quotePrefix="0" xfId="0">
      <alignment vertical="top"/>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4" customWidth="1" min="2" max="2"/>
    <col width="14" customWidth="1" min="3" max="3"/>
    <col width="78" customWidth="1" min="4" max="4"/>
  </cols>
  <sheetData>
    <row r="1">
      <c r="A1" s="1" t="inlineStr">
        <is>
          <t>CNG feature coverage — SoftHSM2 KSP over PKCS#11</t>
        </is>
      </c>
    </row>
    <row r="2" ht="28" customHeight="1">
      <c r="A2" s="2" t="inlineStr">
        <is>
          <t>A Microsoft CNG Key Storage Provider implemented on top of a PKCS#11 v2.40+ layer, backed by SoftHSM2 and verified against a second, independent PKCS#11 token.</t>
        </is>
      </c>
    </row>
    <row r="3">
      <c r="A3" s="3" t="inlineStr">
        <is>
          <t>As of 2026-10-17   ·   source of truth: softhsm_ksp/docs/feature-matrix.csv</t>
        </is>
      </c>
    </row>
    <row r="5">
      <c r="A5" s="4" t="inlineStr">
        <is>
          <t>Headline</t>
        </is>
      </c>
    </row>
    <row r="6" ht="30" customHeight="1">
      <c r="A6" s="5" t="inlineStr">
        <is>
          <t>Measure</t>
        </is>
      </c>
      <c r="B6" s="5" t="inlineStr">
        <is>
          <t>Count</t>
        </is>
      </c>
      <c r="C6" s="5" t="inlineStr">
        <is>
          <t>Share</t>
        </is>
      </c>
      <c r="D6" s="5" t="inlineStr">
        <is>
          <t>What it means</t>
        </is>
      </c>
    </row>
    <row r="7" ht="30" customHeight="1">
      <c r="A7" s="6" t="inlineStr">
        <is>
          <t>Capabilities assessed</t>
        </is>
      </c>
      <c r="B7" s="7">
        <f>COUNTA('CNG Feature Matrix'!A2:A104)</f>
        <v>103</v>
      </c>
      <c r="C7" s="8" t="n"/>
      <c r="D7" s="9" t="inlineStr">
        <is>
          <t>One row per capability observed across shipping CNG KSPs (Microsoft, AWS CloudHSM, Utimaco, Thales, Entrust, Securosys).</t>
        </is>
      </c>
    </row>
    <row r="8" ht="30" customHeight="1">
      <c r="A8" s="10" t="inlineStr">
        <is>
          <t>Yes — fully supported</t>
        </is>
      </c>
      <c r="B8" s="11">
        <f>COUNTIF('CNG Feature Matrix'!E2:E104,"Yes")</f>
        <v>73</v>
      </c>
      <c r="C8" s="12">
        <f>B8/$B$7</f>
        <v>0.7087378640776699</v>
      </c>
      <c r="D8" s="9" t="inlineStr">
        <is>
          <t>Implemented and exercised by the test suites. No known gap against the surveyed market.</t>
        </is>
      </c>
    </row>
    <row r="9" ht="30" customHeight="1">
      <c r="A9" s="10" t="inlineStr">
        <is>
          <t>Partial — works with a caveat</t>
        </is>
      </c>
      <c r="B9" s="13">
        <f>COUNTIF('CNG Feature Matrix'!E2:E104,"Partial")</f>
        <v>10</v>
      </c>
      <c r="C9" s="12">
        <f>B9/$B$7</f>
        <v>0.0970873786407767</v>
      </c>
      <c r="D9" s="9" t="inlineStr">
        <is>
          <t>Implemented and usable, but with a limit that is stated rather than hidden — a non-standard identifier, a deliberate refusal, or one direction of a two-way feature.</t>
        </is>
      </c>
    </row>
    <row r="10" ht="30" customHeight="1">
      <c r="A10" s="10" t="inlineStr">
        <is>
          <t>No — not supported</t>
        </is>
      </c>
      <c r="B10" s="14">
        <f>COUNTIF('CNG Feature Matrix'!E2:E104,"No")</f>
        <v>20</v>
      </c>
      <c r="C10" s="12">
        <f>B10/$B$7</f>
        <v>0.1941747572815534</v>
      </c>
      <c r="D10" s="9" t="inlineStr">
        <is>
          <t>Not implemented. Every one carries a recorded reason; none is an oversight.</t>
        </is>
      </c>
    </row>
    <row r="12">
      <c r="A12" s="4" t="inlineStr">
        <is>
          <t>Why the open items are open</t>
        </is>
      </c>
    </row>
    <row r="13">
      <c r="A13" s="2" t="inlineStr">
        <is>
          <t>Every Partial and No row, classified by what actually stands in the way. This is the question the counts above cannot answer.</t>
        </is>
      </c>
    </row>
    <row r="14" ht="30" customHeight="1">
      <c r="A14" s="5" t="inlineStr">
        <is>
          <t>Reason</t>
        </is>
      </c>
      <c r="B14" s="5" t="inlineStr">
        <is>
          <t>Count</t>
        </is>
      </c>
      <c r="C14" s="5" t="inlineStr">
        <is>
          <t>Share of open</t>
        </is>
      </c>
      <c r="D14" s="5" t="inlineStr">
        <is>
          <t>Reading</t>
        </is>
      </c>
    </row>
    <row r="15" ht="32" customHeight="1">
      <c r="A15" s="10" t="inlineStr">
        <is>
          <t>Deliberate position</t>
        </is>
      </c>
      <c r="B15" s="15">
        <f>COUNTIF('CNG Feature Matrix'!H2:H104,A15)</f>
        <v>11</v>
      </c>
      <c r="C15" s="12">
        <f>IFERROR(B15/(COUNTIF('CNG Feature Matrix'!E2:E104,"Partial")+COUNTIF('CNG Feature Matrix'!E2:E104,"No")),0)</f>
        <v>0.36666666666666664</v>
      </c>
      <c r="D15" s="9" t="inlineStr">
        <is>
          <t>The provider chose this and the reason is recorded — HSM posture (keys are non-extractable), or a scope decision such as DES and DSA.</t>
        </is>
      </c>
    </row>
    <row r="16" ht="32" customHeight="1">
      <c r="A16" s="10" t="inlineStr">
        <is>
          <t>Blocked: no PKCS#11 mechanism</t>
        </is>
      </c>
      <c r="B16" s="15">
        <f>COUNTIF('CNG Feature Matrix'!H2:H104,A16)</f>
        <v>7</v>
      </c>
      <c r="C16" s="12">
        <f>IFERROR(B16/(COUNTIF('CNG Feature Matrix'!E2:E104,"Partial")+COUNTIF('CNG Feature Matrix'!E2:E104,"No")),0)</f>
        <v>0.23333333333333334</v>
      </c>
      <c r="D16" s="9" t="inlineStr">
        <is>
          <t>PKCS#11 offers no mechanism, so a portable provider cannot reach it however much code is written — key attestation, use counters, change notification.</t>
        </is>
      </c>
    </row>
    <row r="17" ht="32" customHeight="1">
      <c r="A17" s="10" t="inlineStr">
        <is>
          <t>Blocked: CNG has no identifier or slot</t>
        </is>
      </c>
      <c r="B17" s="15">
        <f>COUNTIF('CNG Feature Matrix'!H2:H104,A17)</f>
        <v>5</v>
      </c>
      <c r="C17" s="12">
        <f>IFERROR(B17/(COUNTIF('CNG Feature Matrix'!E2:E104,"Partial")+COUNTIF('CNG Feature Matrix'!E2:E104,"No")),0)</f>
        <v>0.16666666666666666</v>
      </c>
      <c r="D17" s="9" t="inlineStr">
        <is>
          <t>CNG itself has no algorithm identifier (EdDSA, HMAC, counter mode) or no function-table slot (ML-KEM). Blocked on Microsoft, not on this project.</t>
        </is>
      </c>
    </row>
    <row r="18" ht="32" customHeight="1">
      <c r="A18" s="10" t="inlineStr">
        <is>
          <t>Blocked: hardware / commercial</t>
        </is>
      </c>
      <c r="B18" s="15">
        <f>COUNTIF('CNG Feature Matrix'!H2:H104,A18)</f>
        <v>4</v>
      </c>
      <c r="C18" s="12">
        <f>IFERROR(B18/(COUNTIF('CNG Feature Matrix'!E2:E104,"Partial")+COUNTIF('CNG Feature Matrix'!E2:E104,"No")),0)</f>
        <v>0.13333333333333333</v>
      </c>
      <c r="D18" s="9" t="inlineStr">
        <is>
          <t>Needs real hardware, a purchased code-signing certificate, or a formal validation programme. Not an engineering task.</t>
        </is>
      </c>
    </row>
    <row r="19" ht="32" customHeight="1">
      <c r="A19" s="10" t="inlineStr">
        <is>
          <t>Blocked: needs ncrypt_provider.h / Windows</t>
        </is>
      </c>
      <c r="B19" s="15">
        <f>COUNTIF('CNG Feature Matrix'!H2:H104,A19)</f>
        <v>3</v>
      </c>
      <c r="C19" s="12">
        <f>IFERROR(B19/(COUNTIF('CNG Feature Matrix'!E2:E104,"Partial")+COUNTIF('CNG Feature Matrix'!E2:E104,"No")),0)</f>
        <v>0.1</v>
      </c>
      <c r="D19" s="9" t="inlineStr">
        <is>
          <t>Needs the CPDK header and a Windows machine. THE HIGHEST-VALUE ITEM HERE — see the caveat below.</t>
        </is>
      </c>
    </row>
    <row r="20">
      <c r="A20" s="16" t="inlineStr">
        <is>
          <t>Total open</t>
        </is>
      </c>
      <c r="B20" s="7">
        <f>(COUNTIF('CNG Feature Matrix'!E2:E104,"Partial")+COUNTIF('CNG Feature Matrix'!E2:E104,"No"))</f>
        <v>30</v>
      </c>
      <c r="C20" s="17">
        <f>IFERROR(B20/$B$7,0)</f>
        <v>0.2912621359223301</v>
      </c>
      <c r="D20" s="18" t="inlineStr">
        <is>
          <t>Sums the five reasons above; it must equal Partial + No.</t>
        </is>
      </c>
    </row>
    <row r="22">
      <c r="A22" s="4" t="inlineStr">
        <is>
          <t>Read this before quoting any number above</t>
        </is>
      </c>
    </row>
    <row r="23" ht="46" customHeight="1">
      <c r="A23" s="19" t="inlineStr">
        <is>
          <t>The DLL is not built in CI.</t>
        </is>
      </c>
      <c r="B23" s="20" t="inlineStr">
        <is>
          <t>MSVC compiles nine of the ten source files clean at /W3 /WX, but ksp_main.c needs ncrypt_provider.h, which does not exist on a hosted Windows runner. A green CI run does not mean the provider builds. Every other figure in this workbook is measured on Linux against a PKCS#11 token, not on Windows through ncrypt.dll.</t>
        </is>
      </c>
      <c r="C23" s="8" t="n"/>
      <c r="D23" s="8" t="n"/>
    </row>
    <row r="24" ht="46" customHeight="1">
      <c r="A24" s="19" t="inlineStr">
        <is>
          <t>"Yes" means implemented and tested, not shipped and certified.</t>
        </is>
      </c>
      <c r="B24" s="20" t="inlineStr">
        <is>
          <t>Coverage here is functional. It says nothing about FIPS validation, hardware protection or Authenticode signing, all of which are separate rows and all of which are No.</t>
        </is>
      </c>
      <c r="C24" s="8" t="n"/>
      <c r="D24" s="8" t="n"/>
    </row>
    <row r="25" ht="46" customHeight="1">
      <c r="A25" s="19" t="inlineStr">
        <is>
          <t>The backend is interchangeable, and that is load-bearing.</t>
        </is>
      </c>
      <c r="B25" s="20" t="inlineStr">
        <is>
          <t>The provider advertises the intersection of what it maps and what the token reports via C_GetMechanismList. Features marked Yes may go dark on a token that lacks the mechanism — by design, not by failure.</t>
        </is>
      </c>
      <c r="C25" s="8" t="n"/>
      <c r="D25" s="8" t="n"/>
    </row>
    <row r="26" ht="46" customHeight="1">
      <c r="A26" s="19" t="inlineStr">
        <is>
          <t>A mock agreeing with itself proved several of these wrong.</t>
        </is>
      </c>
      <c r="B26" s="20" t="inlineStr">
        <is>
          <t>Running the same sources against a second, independent PKCS#11 token (Kryoptic) found defects in ECDSA, X25519, Ed448, HMAC and AES key wrap that thousands of mock assertions had passed. Rows carrying evidence grade A for cryptographic operations are the ones proven that way.</t>
        </is>
      </c>
      <c r="C26" s="8" t="n"/>
      <c r="D26" s="8" t="n"/>
    </row>
  </sheetData>
  <mergeCells count="6">
    <mergeCell ref="B23:D23"/>
    <mergeCell ref="B26:D26"/>
    <mergeCell ref="A2:D2"/>
    <mergeCell ref="B25:D25"/>
    <mergeCell ref="B24:D24"/>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34" customWidth="1" min="3" max="3"/>
    <col width="40" customWidth="1" min="4" max="4"/>
    <col width="11" customWidth="1" min="5" max="5"/>
    <col width="13" customWidth="1" min="6" max="6"/>
    <col width="9" customWidth="1" min="7" max="7"/>
    <col width="34" customWidth="1" min="8" max="8"/>
    <col width="7" customWidth="1" min="9" max="9"/>
    <col width="34" customWidth="1" min="10" max="10"/>
    <col width="95" customWidth="1" min="11" max="11"/>
  </cols>
  <sheetData>
    <row r="1" ht="30" customHeight="1">
      <c r="A1" s="5" t="inlineStr">
        <is>
          <t>ID</t>
        </is>
      </c>
      <c r="B1" s="5" t="inlineStr">
        <is>
          <t>Category</t>
        </is>
      </c>
      <c r="C1" s="5" t="inlineStr">
        <is>
          <t>CNG feature</t>
        </is>
      </c>
      <c r="D1" s="5" t="inlineStr">
        <is>
          <t>What it covers</t>
        </is>
      </c>
      <c r="E1" s="5" t="inlineStr">
        <is>
          <t>Supported</t>
        </is>
      </c>
      <c r="F1" s="5" t="inlineStr">
        <is>
          <t>Matrix status</t>
        </is>
      </c>
      <c r="G1" s="5" t="inlineStr">
        <is>
          <t>Evidence</t>
        </is>
      </c>
      <c r="H1" s="5" t="inlineStr">
        <is>
          <t>Why still open</t>
        </is>
      </c>
      <c r="I1" s="5" t="inlineStr">
        <is>
          <t>Effort</t>
        </is>
      </c>
      <c r="J1" s="5" t="inlineStr">
        <is>
          <t>What other CNG KSPs do</t>
        </is>
      </c>
      <c r="K1" s="5" t="inlineStr">
        <is>
          <t>Detail, reasoning and remedy</t>
        </is>
      </c>
    </row>
    <row r="2">
      <c r="A2" s="21" t="inlineStr">
        <is>
          <t>IFACE-01</t>
        </is>
      </c>
      <c r="B2" s="21" t="inlineStr">
        <is>
          <t>Provider interface</t>
        </is>
      </c>
      <c r="C2" s="21" t="inlineStr">
        <is>
          <t>GetKeyStorageInterface export</t>
        </is>
      </c>
      <c r="D2" s="22" t="inlineStr">
        <is>
          <t>Sole exported symbol; returns the KSP function table</t>
        </is>
      </c>
      <c r="E2" s="23" t="inlineStr">
        <is>
          <t>Yes</t>
        </is>
      </c>
      <c r="F2" s="21" t="inlineStr">
        <is>
          <t>Covered</t>
        </is>
      </c>
      <c r="G2" s="21" t="inlineStr">
        <is>
          <t>A</t>
        </is>
      </c>
      <c r="H2" s="21" t="inlineStr"/>
      <c r="I2" s="21" t="inlineStr"/>
      <c r="J2" s="22" t="inlineStr">
        <is>
          <t>All providers</t>
        </is>
      </c>
      <c r="K2" s="22" t="inlineStr"/>
    </row>
    <row r="3">
      <c r="A3" s="24" t="inlineStr">
        <is>
          <t>IFACE-02</t>
        </is>
      </c>
      <c r="B3" s="24" t="inlineStr">
        <is>
          <t>Provider interface</t>
        </is>
      </c>
      <c r="C3" s="24" t="inlineStr">
        <is>
          <t>OpenProvider / FreeProvider</t>
        </is>
      </c>
      <c r="D3" s="25" t="inlineStr">
        <is>
          <t>Provider handle lifecycle</t>
        </is>
      </c>
      <c r="E3" s="23" t="inlineStr">
        <is>
          <t>Yes</t>
        </is>
      </c>
      <c r="F3" s="24" t="inlineStr">
        <is>
          <t>Covered</t>
        </is>
      </c>
      <c r="G3" s="24" t="inlineStr">
        <is>
          <t>A</t>
        </is>
      </c>
      <c r="H3" s="24" t="inlineStr"/>
      <c r="I3" s="24" t="inlineStr"/>
      <c r="J3" s="25" t="inlineStr">
        <is>
          <t>All providers</t>
        </is>
      </c>
      <c r="K3" s="25" t="inlineStr"/>
    </row>
    <row r="4">
      <c r="A4" s="21" t="inlineStr">
        <is>
          <t>IFACE-03</t>
        </is>
      </c>
      <c r="B4" s="21" t="inlineStr">
        <is>
          <t>Provider interface</t>
        </is>
      </c>
      <c r="C4" s="21" t="inlineStr">
        <is>
          <t>GetProviderProperty</t>
        </is>
      </c>
      <c r="D4" s="22" t="inlineStr">
        <is>
          <t>Name / Version / ImplType</t>
        </is>
      </c>
      <c r="E4" s="23" t="inlineStr">
        <is>
          <t>Yes</t>
        </is>
      </c>
      <c r="F4" s="21" t="inlineStr">
        <is>
          <t>Covered</t>
        </is>
      </c>
      <c r="G4" s="21" t="inlineStr">
        <is>
          <t>A</t>
        </is>
      </c>
      <c r="H4" s="21" t="inlineStr"/>
      <c r="I4" s="21" t="inlineStr"/>
      <c r="J4" s="22" t="inlineStr">
        <is>
          <t>All providers</t>
        </is>
      </c>
      <c r="K4" s="22" t="inlineStr"/>
    </row>
    <row r="5">
      <c r="A5" s="24" t="inlineStr">
        <is>
          <t>IFACE-04</t>
        </is>
      </c>
      <c r="B5" s="24" t="inlineStr">
        <is>
          <t>Provider interface</t>
        </is>
      </c>
      <c r="C5" s="24" t="inlineStr">
        <is>
          <t>SetProviderProperty</t>
        </is>
      </c>
      <c r="D5" s="25" t="inlineStr">
        <is>
          <t>NCRYPT_PIN_PROPERTY is implemented: the PIN is handed to the session layer, and because sessions open lazily a PIN set before the first cryptographic call is the one used to log in. Token selection is now writable too, by KSP_TOKEN_LABEL_PROPERTY or KSP_SLOT_PROPERTY, in the window between NCryptOpenStorageProvider and the first operation: the slot is bound on first use rather than during initialisation, so the choice is still open. After binding it is refused with NTE_INVALID_HANDLE rather than accepted and ignored, because PKCS#11 cannot move a session between tokens and a caller told its selection succeeded would keep using the old one. A selection naming no present token is an error, never a fallback. Verified against TWO real tokens with different labels, PINs and keys; a test with one token cannot distinguish a working selection from an ignored one.</t>
        </is>
      </c>
      <c r="E5" s="23" t="inlineStr">
        <is>
          <t>Yes</t>
        </is>
      </c>
      <c r="F5" s="24" t="inlineStr">
        <is>
          <t>Covered</t>
        </is>
      </c>
      <c r="G5" s="24" t="inlineStr">
        <is>
          <t>A</t>
        </is>
      </c>
      <c r="H5" s="24" t="inlineStr"/>
      <c r="I5" s="24" t="inlineStr"/>
      <c r="J5" s="25" t="inlineStr">
        <is>
          <t>Vendor-specific</t>
        </is>
      </c>
      <c r="K5" s="25" t="inlineStr"/>
    </row>
    <row r="6">
      <c r="A6" s="21" t="inlineStr">
        <is>
          <t>IFACE-05</t>
        </is>
      </c>
      <c r="B6" s="21" t="inlineStr">
        <is>
          <t>Provider interface</t>
        </is>
      </c>
      <c r="C6" s="21" t="inlineStr">
        <is>
          <t>NotifyChangeKey</t>
        </is>
      </c>
      <c r="D6" s="22" t="inlineStr">
        <is>
          <t>Key-change notification handle</t>
        </is>
      </c>
      <c r="E6" s="26" t="inlineStr">
        <is>
          <t>Partial</t>
        </is>
      </c>
      <c r="F6" s="21" t="inlineStr">
        <is>
          <t>Partial</t>
        </is>
      </c>
      <c r="G6" s="21" t="inlineStr">
        <is>
          <t>A</t>
        </is>
      </c>
      <c r="H6" s="21" t="inlineStr">
        <is>
          <t>Blocked: no PKCS#11 mechanism</t>
        </is>
      </c>
      <c r="I6" s="21" t="inlineStr">
        <is>
          <t>L</t>
        </is>
      </c>
      <c r="J6" s="22" t="inlineStr">
        <is>
          <t>Microsoft KSP</t>
        </is>
      </c>
      <c r="K6" s="22" t="inlineStr">
        <is>
          <t>Was a no-op returning ERROR_SUCCESS with the caller's HANDLE never written, so an application registering for notification was told it had succeeded and then waited on an uninitialised handle. It now validates the provider and the flags, clears *phEvent and refuses registration with NTE_NOT_SUPPORTED; unregistering succeeds because there is nothing to tear down. Real support needs a key-change channel a PKCS#11 token does not have - there is no C_WaitForSlotEvent equivalent for objects, and polling C_FindObjects on a timer would be a fabrication rather than a notification.</t>
        </is>
      </c>
    </row>
    <row r="7">
      <c r="A7" s="24" t="inlineStr">
        <is>
          <t>IFACE-06</t>
        </is>
      </c>
      <c r="B7" s="24" t="inlineStr">
        <is>
          <t>Provider interface</t>
        </is>
      </c>
      <c r="C7" s="24" t="inlineStr">
        <is>
          <t>GetOperationProperty</t>
        </is>
      </c>
      <c r="D7" s="25" t="inlineStr">
        <is>
          <t>Async / overlapped operation state</t>
        </is>
      </c>
      <c r="E7" s="27" t="inlineStr">
        <is>
          <t>No</t>
        </is>
      </c>
      <c r="F7" s="24" t="inlineStr">
        <is>
          <t>Not covered</t>
        </is>
      </c>
      <c r="G7" s="24" t="inlineStr">
        <is>
          <t>B</t>
        </is>
      </c>
      <c r="H7" s="24" t="inlineStr">
        <is>
          <t>Blocked: no PKCS#11 mechanism</t>
        </is>
      </c>
      <c r="I7" s="24" t="inlineStr">
        <is>
          <t>L</t>
        </is>
      </c>
      <c r="J7" s="25" t="inlineStr">
        <is>
          <t>Microsoft KSP</t>
        </is>
      </c>
      <c r="K7" s="25" t="inlineStr">
        <is>
          <t>Returns NTE_NOT_SUPPORTED. Only needed for overlapped I/O; PKCS#11 is synchronous so there is nothing to report.</t>
        </is>
      </c>
    </row>
    <row r="8">
      <c r="A8" s="21" t="inlineStr">
        <is>
          <t>IFACE-07</t>
        </is>
      </c>
      <c r="B8" s="21" t="inlineStr">
        <is>
          <t>Provider interface</t>
        </is>
      </c>
      <c r="C8" s="21" t="inlineStr">
        <is>
          <t>PromptUser</t>
        </is>
      </c>
      <c r="D8" s="22" t="inlineStr">
        <is>
          <t>Interactive PIN / consent dialog</t>
        </is>
      </c>
      <c r="E8" s="27" t="inlineStr">
        <is>
          <t>No</t>
        </is>
      </c>
      <c r="F8" s="21" t="inlineStr">
        <is>
          <t>Not covered</t>
        </is>
      </c>
      <c r="G8" s="21" t="inlineStr">
        <is>
          <t>B</t>
        </is>
      </c>
      <c r="H8" s="21" t="inlineStr">
        <is>
          <t>Deliberate position</t>
        </is>
      </c>
      <c r="I8" s="21" t="inlineStr">
        <is>
          <t>L</t>
        </is>
      </c>
      <c r="J8" s="22" t="inlineStr">
        <is>
          <t>Smart card KSPs</t>
        </is>
      </c>
      <c r="K8" s="22" t="inlineStr">
        <is>
          <t>Returns NTE_NOT_SUPPORTED. Would need a UI thread and a window handle from NCRYPT_WINDOW_HANDLE_PROPERTY.</t>
        </is>
      </c>
    </row>
    <row r="9">
      <c r="A9" s="24" t="inlineStr">
        <is>
          <t>IFACE-08</t>
        </is>
      </c>
      <c r="B9" s="24" t="inlineStr">
        <is>
          <t>Provider interface</t>
        </is>
      </c>
      <c r="C9" s="24" t="inlineStr">
        <is>
          <t>FreeBuffer / FreeObject</t>
        </is>
      </c>
      <c r="D9" s="25" t="inlineStr">
        <is>
          <t>Provider-allocated memory release</t>
        </is>
      </c>
      <c r="E9" s="23" t="inlineStr">
        <is>
          <t>Yes</t>
        </is>
      </c>
      <c r="F9" s="24" t="inlineStr">
        <is>
          <t>Covered</t>
        </is>
      </c>
      <c r="G9" s="24" t="inlineStr">
        <is>
          <t>A</t>
        </is>
      </c>
      <c r="H9" s="24" t="inlineStr"/>
      <c r="I9" s="24" t="inlineStr"/>
      <c r="J9" s="25" t="inlineStr">
        <is>
          <t>All providers</t>
        </is>
      </c>
      <c r="K9" s="25" t="inlineStr"/>
    </row>
    <row r="10">
      <c r="A10" s="21" t="inlineStr">
        <is>
          <t>IFACE-09</t>
        </is>
      </c>
      <c r="B10" s="21" t="inlineStr">
        <is>
          <t>Provider interface</t>
        </is>
      </c>
      <c r="C10" s="21" t="inlineStr">
        <is>
          <t>VerifySignature</t>
        </is>
      </c>
      <c r="D10" s="22" t="inlineStr">
        <is>
          <t>NCryptVerifySignature through the provider</t>
        </is>
      </c>
      <c r="E10" s="23" t="inlineStr">
        <is>
          <t>Yes</t>
        </is>
      </c>
      <c r="F10" s="21" t="inlineStr">
        <is>
          <t>Covered</t>
        </is>
      </c>
      <c r="G10" s="21" t="inlineStr">
        <is>
          <t>A</t>
        </is>
      </c>
      <c r="H10" s="21" t="inlineStr"/>
      <c r="I10" s="21" t="inlineStr"/>
      <c r="J10" s="22" t="inlineStr">
        <is>
          <t>All providers implement the slot</t>
        </is>
      </c>
      <c r="K10" s="22" t="inlineStr"/>
    </row>
    <row r="11">
      <c r="A11" s="24" t="inlineStr">
        <is>
          <t>TABLE-01</t>
        </is>
      </c>
      <c r="B11" s="24" t="inlineStr">
        <is>
          <t>Provider interface</t>
        </is>
      </c>
      <c r="C11" s="24" t="inlineStr">
        <is>
          <t>Function table layout matches the SDK</t>
        </is>
      </c>
      <c r="D11" s="25" t="inlineStr">
        <is>
          <t>NCRYPT_KEY_STORAGE_FUNCTION_TABLE slot order and membership</t>
        </is>
      </c>
      <c r="E11" s="26" t="inlineStr">
        <is>
          <t>Partial</t>
        </is>
      </c>
      <c r="F11" s="24" t="inlineStr">
        <is>
          <t>Partial</t>
        </is>
      </c>
      <c r="G11" s="24" t="inlineStr">
        <is>
          <t>A</t>
        </is>
      </c>
      <c r="H11" s="24" t="inlineStr">
        <is>
          <t>Blocked: needs ncrypt_provider.h / Windows</t>
        </is>
      </c>
      <c r="I11" s="24" t="inlineStr">
        <is>
          <t>S</t>
        </is>
      </c>
      <c r="J11" s="25" t="inlineStr">
        <is>
          <t>All providers</t>
        </is>
      </c>
      <c r="K11" s="25" t="inlineStr">
        <is>
          <t>The table uses designated initialisers, so the SDK header assigns slots by name and a wrong NAME is a build error. Since session 14 eight provider-scoped slots are also signature-checked: their KSP prototype equals the documented public NCrypt one, so test_function_table.c assigns each to a pointer type copied from &lt;ncrypt.h&gt; and the build promotes incompatible-pointer-types to an error. That caught KSP_NotifyChangeKey taking an NCRYPT_KEY_HANDLE where the parameter is HANDLE *phEvent. Key-scoped slots cannot be checked this way - NCryptSignHash takes (hKey, ...) while the slot takes (hProvider, hKey, ...) - so full confirmation still needs ncrypt_provider.h.</t>
        </is>
      </c>
    </row>
    <row r="12">
      <c r="A12" s="21" t="inlineStr">
        <is>
          <t>BUILD-01</t>
        </is>
      </c>
      <c r="B12" s="21" t="inlineStr">
        <is>
          <t>Provider interface</t>
        </is>
      </c>
      <c r="C12" s="21" t="inlineStr">
        <is>
          <t>Builds for Windows at all</t>
        </is>
      </c>
      <c r="D12" s="22" t="inlineStr">
        <is>
          <t>The shipped artefact is a Windows DLL</t>
        </is>
      </c>
      <c r="E12" s="26" t="inlineStr">
        <is>
          <t>Partial</t>
        </is>
      </c>
      <c r="F12" s="21" t="inlineStr">
        <is>
          <t>Partial</t>
        </is>
      </c>
      <c r="G12" s="21" t="inlineStr">
        <is>
          <t>A</t>
        </is>
      </c>
      <c r="H12" s="21" t="inlineStr">
        <is>
          <t>Blocked: needs ncrypt_provider.h / Windows</t>
        </is>
      </c>
      <c r="I12" s="21" t="inlineStr">
        <is>
          <t>M</t>
        </is>
      </c>
      <c r="J12" s="22" t="inlineStr">
        <is>
          <t>All providers</t>
        </is>
      </c>
      <c r="K12" s="22" t="inlineStr">
        <is>
          <t>Phase 0 fixed all six root causes. MSVC compiles nine of the ten source files clean at /W3 /WX and links test_p11_layer. ksp_main.c cannot be built in hosted CI: ncrypt_provider.h does not exist on a windows-latest runner, established by a dir /s /b across C: and D: that returned only this repo's own test mock, after a WDK install that reported success. Needs a machine that has the header.</t>
        </is>
      </c>
    </row>
    <row r="13">
      <c r="A13" s="24" t="inlineStr">
        <is>
          <t>BUILD-02</t>
        </is>
      </c>
      <c r="B13" s="24" t="inlineStr">
        <is>
          <t>Provider interface</t>
        </is>
      </c>
      <c r="C13" s="24" t="inlineStr">
        <is>
          <t>Continuous integration</t>
        </is>
      </c>
      <c r="D13" s="25" t="inlineStr">
        <is>
          <t>Automated build and test on the target platform</t>
        </is>
      </c>
      <c r="E13" s="23" t="inlineStr">
        <is>
          <t>Yes</t>
        </is>
      </c>
      <c r="F13" s="24" t="inlineStr">
        <is>
          <t>Covered</t>
        </is>
      </c>
      <c r="G13" s="24" t="inlineStr">
        <is>
          <t>A</t>
        </is>
      </c>
      <c r="H13" s="24" t="inlineStr"/>
      <c r="I13" s="24" t="inlineStr"/>
      <c r="J13" s="25" t="inlineStr">
        <is>
          <t>All providers</t>
        </is>
      </c>
      <c r="K13" s="25" t="inlineStr"/>
    </row>
    <row r="14">
      <c r="A14" s="21" t="inlineStr">
        <is>
          <t>RSA-01</t>
        </is>
      </c>
      <c r="B14" s="21" t="inlineStr">
        <is>
          <t>Asymmetric RSA</t>
        </is>
      </c>
      <c r="C14" s="21" t="inlineStr">
        <is>
          <t>RSA key generation</t>
        </is>
      </c>
      <c r="D14" s="22" t="inlineStr">
        <is>
          <t>2048 / 3072 / 4096 bits</t>
        </is>
      </c>
      <c r="E14" s="23" t="inlineStr">
        <is>
          <t>Yes</t>
        </is>
      </c>
      <c r="F14" s="21" t="inlineStr">
        <is>
          <t>Covered</t>
        </is>
      </c>
      <c r="G14" s="21" t="inlineStr">
        <is>
          <t>A</t>
        </is>
      </c>
      <c r="H14" s="21" t="inlineStr"/>
      <c r="I14" s="21" t="inlineStr"/>
      <c r="J14" s="22" t="inlineStr">
        <is>
          <t>All providers</t>
        </is>
      </c>
      <c r="K14" s="22" t="inlineStr"/>
    </row>
    <row r="15">
      <c r="A15" s="24" t="inlineStr">
        <is>
          <t>RSA-02</t>
        </is>
      </c>
      <c r="B15" s="24" t="inlineStr">
        <is>
          <t>Asymmetric RSA</t>
        </is>
      </c>
      <c r="C15" s="24" t="inlineStr">
        <is>
          <t>RSA 1024 and below</t>
        </is>
      </c>
      <c r="D15" s="25" t="inlineStr">
        <is>
          <t>512-1024 bits</t>
        </is>
      </c>
      <c r="E15" s="26" t="inlineStr">
        <is>
          <t>Partial</t>
        </is>
      </c>
      <c r="F15" s="24" t="inlineStr">
        <is>
          <t>Partial</t>
        </is>
      </c>
      <c r="G15" s="24" t="inlineStr">
        <is>
          <t>B</t>
        </is>
      </c>
      <c r="H15" s="24" t="inlineStr">
        <is>
          <t>Deliberate position</t>
        </is>
      </c>
      <c r="I15" s="24" t="inlineStr">
        <is>
          <t>S</t>
        </is>
      </c>
      <c r="J15" s="25" t="inlineStr">
        <is>
          <t>MS Software KSP; Utimaco</t>
        </is>
      </c>
      <c r="K15" s="25" t="inlineStr">
        <is>
          <t>Build-time opt-in only. KSP_RSA_MIN_BITS defaults to 2048; a legacy build can lower it, but the shipped default still rejects &lt;2048 with NTE_BAD_LEN. Deliberate: silently allowing 1024 would weaken every deployment.</t>
        </is>
      </c>
    </row>
    <row r="16">
      <c r="A16" s="21" t="inlineStr">
        <is>
          <t>RSA-03</t>
        </is>
      </c>
      <c r="B16" s="21" t="inlineStr">
        <is>
          <t>Asymmetric RSA</t>
        </is>
      </c>
      <c r="C16" s="21" t="inlineStr">
        <is>
          <t>RSA above 4096</t>
        </is>
      </c>
      <c r="D16" s="22" t="inlineStr">
        <is>
          <t>8192 / 16384 bits</t>
        </is>
      </c>
      <c r="E16" s="23" t="inlineStr">
        <is>
          <t>Yes</t>
        </is>
      </c>
      <c r="F16" s="21" t="inlineStr">
        <is>
          <t>Covered</t>
        </is>
      </c>
      <c r="G16" s="21" t="inlineStr">
        <is>
          <t>B</t>
        </is>
      </c>
      <c r="H16" s="21" t="inlineStr"/>
      <c r="I16" s="21" t="inlineStr"/>
      <c r="J16" s="22" t="inlineStr">
        <is>
          <t>MS Software KSP; Utimaco</t>
        </is>
      </c>
      <c r="K16" s="22" t="inlineStr"/>
    </row>
    <row r="17">
      <c r="A17" s="24" t="inlineStr">
        <is>
          <t>RSA-04</t>
        </is>
      </c>
      <c r="B17" s="24" t="inlineStr">
        <is>
          <t>Asymmetric RSA</t>
        </is>
      </c>
      <c r="C17" s="24" t="inlineStr">
        <is>
          <t>RSA arbitrary size increments</t>
        </is>
      </c>
      <c r="D17" s="25" t="inlineStr">
        <is>
          <t>64-bit (MS) or 8-bit (Utimaco) steps</t>
        </is>
      </c>
      <c r="E17" s="23" t="inlineStr">
        <is>
          <t>Yes</t>
        </is>
      </c>
      <c r="F17" s="24" t="inlineStr">
        <is>
          <t>Covered</t>
        </is>
      </c>
      <c r="G17" s="24" t="inlineStr">
        <is>
          <t>B</t>
        </is>
      </c>
      <c r="H17" s="24" t="inlineStr"/>
      <c r="I17" s="24" t="inlineStr"/>
      <c r="J17" s="25" t="inlineStr">
        <is>
          <t>MS Software KSP; Utimaco</t>
        </is>
      </c>
      <c r="K17" s="25" t="inlineStr"/>
    </row>
    <row r="18">
      <c r="A18" s="21" t="inlineStr">
        <is>
          <t>RSA-05</t>
        </is>
      </c>
      <c r="B18" s="21" t="inlineStr">
        <is>
          <t>Asymmetric RSA</t>
        </is>
      </c>
      <c r="C18" s="21" t="inlineStr">
        <is>
          <t>Custom public exponent</t>
        </is>
      </c>
      <c r="D18" s="22" t="inlineStr">
        <is>
          <t>Exponent other than 65537</t>
        </is>
      </c>
      <c r="E18" s="23" t="inlineStr">
        <is>
          <t>Yes</t>
        </is>
      </c>
      <c r="F18" s="21" t="inlineStr">
        <is>
          <t>Covered</t>
        </is>
      </c>
      <c r="G18" s="21" t="inlineStr">
        <is>
          <t>C</t>
        </is>
      </c>
      <c r="H18" s="21" t="inlineStr"/>
      <c r="I18" s="21" t="inlineStr"/>
      <c r="J18" s="22" t="inlineStr">
        <is>
          <t>Vendor-specific</t>
        </is>
      </c>
      <c r="K18" s="22" t="inlineStr"/>
    </row>
    <row r="19">
      <c r="A19" s="24" t="inlineStr">
        <is>
          <t>RSA-06</t>
        </is>
      </c>
      <c r="B19" s="24" t="inlineStr">
        <is>
          <t>Asymmetric RSA</t>
        </is>
      </c>
      <c r="C19" s="24" t="inlineStr">
        <is>
          <t>PKCS#1 v1.5 signing</t>
        </is>
      </c>
      <c r="D19" s="25" t="inlineStr">
        <is>
          <t>SHA-1 / 256 / 384 / 512</t>
        </is>
      </c>
      <c r="E19" s="23" t="inlineStr">
        <is>
          <t>Yes</t>
        </is>
      </c>
      <c r="F19" s="24" t="inlineStr">
        <is>
          <t>Covered</t>
        </is>
      </c>
      <c r="G19" s="24" t="inlineStr">
        <is>
          <t>A</t>
        </is>
      </c>
      <c r="H19" s="24" t="inlineStr"/>
      <c r="I19" s="24" t="inlineStr"/>
      <c r="J19" s="25" t="inlineStr">
        <is>
          <t>All providers</t>
        </is>
      </c>
      <c r="K19" s="25" t="inlineStr"/>
    </row>
    <row r="20">
      <c r="A20" s="21" t="inlineStr">
        <is>
          <t>RSA-07</t>
        </is>
      </c>
      <c r="B20" s="21" t="inlineStr">
        <is>
          <t>Asymmetric RSA</t>
        </is>
      </c>
      <c r="C20" s="21" t="inlineStr">
        <is>
          <t>PSS signing</t>
        </is>
      </c>
      <c r="D20" s="22" t="inlineStr">
        <is>
          <t>SHA-1 / 256 / 384 / 512 with caller salt length</t>
        </is>
      </c>
      <c r="E20" s="23" t="inlineStr">
        <is>
          <t>Yes</t>
        </is>
      </c>
      <c r="F20" s="21" t="inlineStr">
        <is>
          <t>Covered</t>
        </is>
      </c>
      <c r="G20" s="21" t="inlineStr">
        <is>
          <t>B</t>
        </is>
      </c>
      <c r="H20" s="21" t="inlineStr"/>
      <c r="I20" s="21" t="inlineStr"/>
      <c r="J20" s="22" t="inlineStr">
        <is>
          <t>All providers</t>
        </is>
      </c>
      <c r="K20" s="22" t="inlineStr"/>
    </row>
    <row r="21">
      <c r="A21" s="24" t="inlineStr">
        <is>
          <t>RSA-08</t>
        </is>
      </c>
      <c r="B21" s="24" t="inlineStr">
        <is>
          <t>Asymmetric RSA</t>
        </is>
      </c>
      <c r="C21" s="24" t="inlineStr">
        <is>
          <t>PSS with SHA-224</t>
        </is>
      </c>
      <c r="D21" s="25" t="inlineStr">
        <is>
          <t>SHA-224 salt and MGF1</t>
        </is>
      </c>
      <c r="E21" s="23" t="inlineStr">
        <is>
          <t>Yes</t>
        </is>
      </c>
      <c r="F21" s="24" t="inlineStr">
        <is>
          <t>Covered</t>
        </is>
      </c>
      <c r="G21" s="24" t="inlineStr">
        <is>
          <t>C</t>
        </is>
      </c>
      <c r="H21" s="24" t="inlineStr"/>
      <c r="I21" s="24" t="inlineStr"/>
      <c r="J21" s="25" t="inlineStr">
        <is>
          <t>Unknown</t>
        </is>
      </c>
      <c r="K21" s="25" t="inlineStr"/>
    </row>
    <row r="22">
      <c r="A22" s="21" t="inlineStr">
        <is>
          <t>RSA-09</t>
        </is>
      </c>
      <c r="B22" s="21" t="inlineStr">
        <is>
          <t>Asymmetric RSA</t>
        </is>
      </c>
      <c r="C22" s="21" t="inlineStr">
        <is>
          <t>PKCS#1 v1.5 decryption</t>
        </is>
      </c>
      <c r="D22" s="22" t="inlineStr">
        <is>
          <t>AT_KEYEXCHANGE keys</t>
        </is>
      </c>
      <c r="E22" s="23" t="inlineStr">
        <is>
          <t>Yes</t>
        </is>
      </c>
      <c r="F22" s="21" t="inlineStr">
        <is>
          <t>Covered</t>
        </is>
      </c>
      <c r="G22" s="21" t="inlineStr">
        <is>
          <t>A</t>
        </is>
      </c>
      <c r="H22" s="21" t="inlineStr"/>
      <c r="I22" s="21" t="inlineStr"/>
      <c r="J22" s="22" t="inlineStr">
        <is>
          <t>All providers</t>
        </is>
      </c>
      <c r="K22" s="22" t="inlineStr"/>
    </row>
    <row r="23">
      <c r="A23" s="24" t="inlineStr">
        <is>
          <t>RSA-10</t>
        </is>
      </c>
      <c r="B23" s="24" t="inlineStr">
        <is>
          <t>Asymmetric RSA</t>
        </is>
      </c>
      <c r="C23" s="24" t="inlineStr">
        <is>
          <t>OAEP decryption</t>
        </is>
      </c>
      <c r="D23" s="25" t="inlineStr">
        <is>
          <t>SHA-1 / 224 / 256 / 384 / 512</t>
        </is>
      </c>
      <c r="E23" s="23" t="inlineStr">
        <is>
          <t>Yes</t>
        </is>
      </c>
      <c r="F23" s="24" t="inlineStr">
        <is>
          <t>Covered</t>
        </is>
      </c>
      <c r="G23" s="24" t="inlineStr">
        <is>
          <t>A</t>
        </is>
      </c>
      <c r="H23" s="24" t="inlineStr"/>
      <c r="I23" s="24" t="inlineStr"/>
      <c r="J23" s="25" t="inlineStr">
        <is>
          <t>All providers</t>
        </is>
      </c>
      <c r="K23" s="25" t="inlineStr"/>
    </row>
    <row r="24">
      <c r="A24" s="21" t="inlineStr">
        <is>
          <t>RSA-11</t>
        </is>
      </c>
      <c r="B24" s="21" t="inlineStr">
        <is>
          <t>Asymmetric RSA</t>
        </is>
      </c>
      <c r="C24" s="21" t="inlineStr">
        <is>
          <t>OAEP application label</t>
        </is>
      </c>
      <c r="D24" s="22" t="inlineStr">
        <is>
          <t>pbLabel / cbLabel passed through</t>
        </is>
      </c>
      <c r="E24" s="23" t="inlineStr">
        <is>
          <t>Yes</t>
        </is>
      </c>
      <c r="F24" s="21" t="inlineStr">
        <is>
          <t>Covered</t>
        </is>
      </c>
      <c r="G24" s="21" t="inlineStr">
        <is>
          <t>C</t>
        </is>
      </c>
      <c r="H24" s="21" t="inlineStr"/>
      <c r="I24" s="21" t="inlineStr"/>
      <c r="J24" s="22" t="inlineStr">
        <is>
          <t>Unknown</t>
        </is>
      </c>
      <c r="K24" s="22" t="inlineStr"/>
    </row>
    <row r="25">
      <c r="A25" s="24" t="inlineStr">
        <is>
          <t>RSA-12</t>
        </is>
      </c>
      <c r="B25" s="24" t="inlineStr">
        <is>
          <t>Asymmetric RSA</t>
        </is>
      </c>
      <c r="C25" s="24" t="inlineStr">
        <is>
          <t>Raw RSA (no padding)</t>
        </is>
      </c>
      <c r="D25" s="25" t="inlineStr">
        <is>
          <t>CKM_RSA_X_509</t>
        </is>
      </c>
      <c r="E25" s="23" t="inlineStr">
        <is>
          <t>Yes</t>
        </is>
      </c>
      <c r="F25" s="24" t="inlineStr">
        <is>
          <t>Covered</t>
        </is>
      </c>
      <c r="G25" s="24" t="inlineStr">
        <is>
          <t>A</t>
        </is>
      </c>
      <c r="H25" s="24" t="inlineStr"/>
      <c r="I25" s="24" t="inlineStr"/>
      <c r="J25" s="25" t="inlineStr">
        <is>
          <t>Some HSMs</t>
        </is>
      </c>
      <c r="K25" s="25" t="inlineStr"/>
    </row>
    <row r="26">
      <c r="A26" s="21" t="inlineStr">
        <is>
          <t>ECDSA-01</t>
        </is>
      </c>
      <c r="B26" s="21" t="inlineStr">
        <is>
          <t>Asymmetric ECDSA</t>
        </is>
      </c>
      <c r="C26" s="21" t="inlineStr">
        <is>
          <t>ECDSA P-256</t>
        </is>
      </c>
      <c r="D26" s="22" t="inlineStr">
        <is>
          <t>secp256r1; 64-byte signature</t>
        </is>
      </c>
      <c r="E26" s="23" t="inlineStr">
        <is>
          <t>Yes</t>
        </is>
      </c>
      <c r="F26" s="21" t="inlineStr">
        <is>
          <t>Covered</t>
        </is>
      </c>
      <c r="G26" s="21" t="inlineStr">
        <is>
          <t>A</t>
        </is>
      </c>
      <c r="H26" s="21" t="inlineStr"/>
      <c r="I26" s="21" t="inlineStr"/>
      <c r="J26" s="22" t="inlineStr">
        <is>
          <t>All providers</t>
        </is>
      </c>
      <c r="K26" s="22" t="inlineStr"/>
    </row>
    <row r="27">
      <c r="A27" s="24" t="inlineStr">
        <is>
          <t>ECDSA-02</t>
        </is>
      </c>
      <c r="B27" s="24" t="inlineStr">
        <is>
          <t>Asymmetric ECDSA</t>
        </is>
      </c>
      <c r="C27" s="24" t="inlineStr">
        <is>
          <t>ECDSA P-384</t>
        </is>
      </c>
      <c r="D27" s="25" t="inlineStr">
        <is>
          <t>secp384r1; 96-byte signature</t>
        </is>
      </c>
      <c r="E27" s="23" t="inlineStr">
        <is>
          <t>Yes</t>
        </is>
      </c>
      <c r="F27" s="24" t="inlineStr">
        <is>
          <t>Covered</t>
        </is>
      </c>
      <c r="G27" s="24" t="inlineStr">
        <is>
          <t>A</t>
        </is>
      </c>
      <c r="H27" s="24" t="inlineStr"/>
      <c r="I27" s="24" t="inlineStr"/>
      <c r="J27" s="25" t="inlineStr">
        <is>
          <t>All providers</t>
        </is>
      </c>
      <c r="K27" s="25" t="inlineStr"/>
    </row>
    <row r="28">
      <c r="A28" s="21" t="inlineStr">
        <is>
          <t>ECDSA-03</t>
        </is>
      </c>
      <c r="B28" s="21" t="inlineStr">
        <is>
          <t>Asymmetric ECDSA</t>
        </is>
      </c>
      <c r="C28" s="21" t="inlineStr">
        <is>
          <t>ECDSA P-521</t>
        </is>
      </c>
      <c r="D28" s="22" t="inlineStr">
        <is>
          <t>secp521r1; 132-byte signature</t>
        </is>
      </c>
      <c r="E28" s="23" t="inlineStr">
        <is>
          <t>Yes</t>
        </is>
      </c>
      <c r="F28" s="21" t="inlineStr">
        <is>
          <t>Covered</t>
        </is>
      </c>
      <c r="G28" s="21" t="inlineStr">
        <is>
          <t>A</t>
        </is>
      </c>
      <c r="H28" s="21" t="inlineStr"/>
      <c r="I28" s="21" t="inlineStr"/>
      <c r="J28" s="22" t="inlineStr">
        <is>
          <t>All providers</t>
        </is>
      </c>
      <c r="K28" s="22" t="inlineStr"/>
    </row>
    <row r="29">
      <c r="A29" s="24" t="inlineStr">
        <is>
          <t>ECDSA-04</t>
        </is>
      </c>
      <c r="B29" s="24" t="inlineStr">
        <is>
          <t>Asymmetric ECDSA</t>
        </is>
      </c>
      <c r="C29" s="24" t="inlineStr">
        <is>
          <t>Brainpool curves</t>
        </is>
      </c>
      <c r="D29" s="25" t="inlineStr">
        <is>
          <t>brainpoolP256r1 / 384r1 / 512r1</t>
        </is>
      </c>
      <c r="E29" s="23" t="inlineStr">
        <is>
          <t>Yes</t>
        </is>
      </c>
      <c r="F29" s="24" t="inlineStr">
        <is>
          <t>Covered</t>
        </is>
      </c>
      <c r="G29" s="24" t="inlineStr">
        <is>
          <t>C</t>
        </is>
      </c>
      <c r="H29" s="24" t="inlineStr"/>
      <c r="I29" s="24" t="inlineStr"/>
      <c r="J29" s="25" t="inlineStr">
        <is>
          <t>Entrust; Utimaco (device)</t>
        </is>
      </c>
      <c r="K29" s="25" t="inlineStr"/>
    </row>
    <row r="30">
      <c r="A30" s="21" t="inlineStr">
        <is>
          <t>ECDSA-05</t>
        </is>
      </c>
      <c r="B30" s="21" t="inlineStr">
        <is>
          <t>Asymmetric ECDSA</t>
        </is>
      </c>
      <c r="C30" s="21" t="inlineStr">
        <is>
          <t>secp256k1</t>
        </is>
      </c>
      <c r="D30" s="22" t="inlineStr">
        <is>
          <t>Bitcoin curve</t>
        </is>
      </c>
      <c r="E30" s="23" t="inlineStr">
        <is>
          <t>Yes</t>
        </is>
      </c>
      <c r="F30" s="21" t="inlineStr">
        <is>
          <t>Covered</t>
        </is>
      </c>
      <c r="G30" s="21" t="inlineStr">
        <is>
          <t>C</t>
        </is>
      </c>
      <c r="H30" s="21" t="inlineStr"/>
      <c r="I30" s="21" t="inlineStr"/>
      <c r="J30" s="22" t="inlineStr">
        <is>
          <t>Entrust (device)</t>
        </is>
      </c>
      <c r="K30" s="22" t="inlineStr"/>
    </row>
    <row r="31">
      <c r="A31" s="24" t="inlineStr">
        <is>
          <t>ECDSA-06</t>
        </is>
      </c>
      <c r="B31" s="24" t="inlineStr">
        <is>
          <t>Asymmetric ECDSA</t>
        </is>
      </c>
      <c r="C31" s="24" t="inlineStr">
        <is>
          <t>DER to r||s conversion</t>
        </is>
      </c>
      <c r="D31" s="25" t="inlineStr">
        <is>
          <t>PKCS#11 returns DER; CNG wants raw</t>
        </is>
      </c>
      <c r="E31" s="23" t="inlineStr">
        <is>
          <t>Yes</t>
        </is>
      </c>
      <c r="F31" s="24" t="inlineStr">
        <is>
          <t>Covered</t>
        </is>
      </c>
      <c r="G31" s="24" t="inlineStr">
        <is>
          <t>A</t>
        </is>
      </c>
      <c r="H31" s="24" t="inlineStr"/>
      <c r="I31" s="24" t="inlineStr"/>
      <c r="J31" s="25" t="inlineStr">
        <is>
          <t>All providers</t>
        </is>
      </c>
      <c r="K31" s="25" t="inlineStr"/>
    </row>
    <row r="32">
      <c r="A32" s="21" t="inlineStr">
        <is>
          <t>ECDH-01</t>
        </is>
      </c>
      <c r="B32" s="21" t="inlineStr">
        <is>
          <t>Key agreement</t>
        </is>
      </c>
      <c r="C32" s="21" t="inlineStr">
        <is>
          <t>ECDH P-256 / P-384 / P-521</t>
        </is>
      </c>
      <c r="D32" s="22" t="inlineStr">
        <is>
          <t>CKM_ECDH1_DERIVE with CKD_NULL</t>
        </is>
      </c>
      <c r="E32" s="23" t="inlineStr">
        <is>
          <t>Yes</t>
        </is>
      </c>
      <c r="F32" s="21" t="inlineStr">
        <is>
          <t>Covered</t>
        </is>
      </c>
      <c r="G32" s="21" t="inlineStr">
        <is>
          <t>B</t>
        </is>
      </c>
      <c r="H32" s="21" t="inlineStr"/>
      <c r="I32" s="21" t="inlineStr"/>
      <c r="J32" s="22" t="inlineStr">
        <is>
          <t>MS Software KSP; Utimaco</t>
        </is>
      </c>
      <c r="K32" s="22" t="inlineStr"/>
    </row>
    <row r="33">
      <c r="A33" s="24" t="inlineStr">
        <is>
          <t>ECDH-02</t>
        </is>
      </c>
      <c r="B33" s="24" t="inlineStr">
        <is>
          <t>Key agreement</t>
        </is>
      </c>
      <c r="C33" s="24" t="inlineStr">
        <is>
          <t>SecretAgreement / DeriveKey / FreeSecret</t>
        </is>
      </c>
      <c r="D33" s="25" t="inlineStr">
        <is>
          <t>NCRYPT_SECRET_HANDLE lifecycle</t>
        </is>
      </c>
      <c r="E33" s="23" t="inlineStr">
        <is>
          <t>Yes</t>
        </is>
      </c>
      <c r="F33" s="24" t="inlineStr">
        <is>
          <t>Covered</t>
        </is>
      </c>
      <c r="G33" s="24" t="inlineStr">
        <is>
          <t>B</t>
        </is>
      </c>
      <c r="H33" s="24" t="inlineStr"/>
      <c r="I33" s="24" t="inlineStr"/>
      <c r="J33" s="25" t="inlineStr">
        <is>
          <t>MS Software KSP; Utimaco</t>
        </is>
      </c>
      <c r="K33" s="25" t="inlineStr"/>
    </row>
    <row r="34">
      <c r="A34" s="21" t="inlineStr">
        <is>
          <t>ECDH-03</t>
        </is>
      </c>
      <c r="B34" s="21" t="inlineStr">
        <is>
          <t>Key agreement</t>
        </is>
      </c>
      <c r="C34" s="21" t="inlineStr">
        <is>
          <t>BCRYPT_KDF_RAW_SECRET</t>
        </is>
      </c>
      <c r="D34" s="22" t="inlineStr">
        <is>
          <t>Raw Z value returned</t>
        </is>
      </c>
      <c r="E34" s="23" t="inlineStr">
        <is>
          <t>Yes</t>
        </is>
      </c>
      <c r="F34" s="21" t="inlineStr">
        <is>
          <t>Covered</t>
        </is>
      </c>
      <c r="G34" s="21" t="inlineStr">
        <is>
          <t>B</t>
        </is>
      </c>
      <c r="H34" s="21" t="inlineStr"/>
      <c r="I34" s="21" t="inlineStr"/>
      <c r="J34" s="22" t="inlineStr">
        <is>
          <t>MS Software KSP</t>
        </is>
      </c>
      <c r="K34" s="22" t="inlineStr"/>
    </row>
    <row r="35">
      <c r="A35" s="24" t="inlineStr">
        <is>
          <t>ECDH-04</t>
        </is>
      </c>
      <c r="B35" s="24" t="inlineStr">
        <is>
          <t>Key agreement</t>
        </is>
      </c>
      <c r="C35" s="24" t="inlineStr">
        <is>
          <t>BCRYPT_KDF_HASH</t>
        </is>
      </c>
      <c r="D35" s="25" t="inlineStr">
        <is>
          <t>SP 800-56A concatenation KDF</t>
        </is>
      </c>
      <c r="E35" s="23" t="inlineStr">
        <is>
          <t>Yes</t>
        </is>
      </c>
      <c r="F35" s="24" t="inlineStr">
        <is>
          <t>Covered</t>
        </is>
      </c>
      <c r="G35" s="24" t="inlineStr">
        <is>
          <t>B</t>
        </is>
      </c>
      <c r="H35" s="24" t="inlineStr"/>
      <c r="I35" s="24" t="inlineStr"/>
      <c r="J35" s="25" t="inlineStr">
        <is>
          <t>MS Software KSP</t>
        </is>
      </c>
      <c r="K35" s="25" t="inlineStr"/>
    </row>
    <row r="36">
      <c r="A36" s="21" t="inlineStr">
        <is>
          <t>ECDH-05</t>
        </is>
      </c>
      <c r="B36" s="21" t="inlineStr">
        <is>
          <t>Key agreement</t>
        </is>
      </c>
      <c r="C36" s="21" t="inlineStr">
        <is>
          <t>BCRYPT_KDF_HMAC / TLS_PRF / HKDF</t>
        </is>
      </c>
      <c r="D36" s="22" t="inlineStr">
        <is>
          <t>Protocol-specific KDFs</t>
        </is>
      </c>
      <c r="E36" s="23" t="inlineStr">
        <is>
          <t>Yes</t>
        </is>
      </c>
      <c r="F36" s="21" t="inlineStr">
        <is>
          <t>Covered</t>
        </is>
      </c>
      <c r="G36" s="21" t="inlineStr">
        <is>
          <t>B</t>
        </is>
      </c>
      <c r="H36" s="21" t="inlineStr"/>
      <c r="I36" s="21" t="inlineStr"/>
      <c r="J36" s="22" t="inlineStr">
        <is>
          <t>MS Software KSP</t>
        </is>
      </c>
      <c r="K36" s="22" t="inlineStr"/>
    </row>
    <row r="37">
      <c r="A37" s="24" t="inlineStr">
        <is>
          <t>ECDH-06</t>
        </is>
      </c>
      <c r="B37" s="24" t="inlineStr">
        <is>
          <t>Key agreement</t>
        </is>
      </c>
      <c r="C37" s="24" t="inlineStr">
        <is>
          <t>Finite-field Diffie-Hellman</t>
        </is>
      </c>
      <c r="D37" s="25" t="inlineStr">
        <is>
          <t>DH 512-4096</t>
        </is>
      </c>
      <c r="E37" s="27" t="inlineStr">
        <is>
          <t>No</t>
        </is>
      </c>
      <c r="F37" s="24" t="inlineStr">
        <is>
          <t>Not covered</t>
        </is>
      </c>
      <c r="G37" s="24" t="inlineStr">
        <is>
          <t>B</t>
        </is>
      </c>
      <c r="H37" s="24" t="inlineStr">
        <is>
          <t>Deliberate position</t>
        </is>
      </c>
      <c r="I37" s="24" t="inlineStr">
        <is>
          <t>L</t>
        </is>
      </c>
      <c r="J37" s="25" t="inlineStr">
        <is>
          <t>MS Software KSP</t>
        </is>
      </c>
      <c r="K37" s="25" t="inlineStr">
        <is>
          <t>Out of scope by choice. ECDH supersedes it and no surveyed HSM KSP exposes it. Would need CKM_DH_PKCS_KEY_PAIR_GEN plus CKM_DH_PKCS_DERIVE.</t>
        </is>
      </c>
    </row>
    <row r="38">
      <c r="A38" s="21" t="inlineStr">
        <is>
          <t>EDDSA-01</t>
        </is>
      </c>
      <c r="B38" s="21" t="inlineStr">
        <is>
          <t>Asymmetric EdDSA</t>
        </is>
      </c>
      <c r="C38" s="21" t="inlineStr">
        <is>
          <t>Ed25519 signing</t>
        </is>
      </c>
      <c r="D38" s="22" t="inlineStr">
        <is>
          <t>64-byte raw signature</t>
        </is>
      </c>
      <c r="E38" s="26" t="inlineStr">
        <is>
          <t>Partial</t>
        </is>
      </c>
      <c r="F38" s="21" t="inlineStr">
        <is>
          <t>Partial</t>
        </is>
      </c>
      <c r="G38" s="21" t="inlineStr">
        <is>
          <t>A</t>
        </is>
      </c>
      <c r="H38" s="21" t="inlineStr">
        <is>
          <t>Blocked: CNG has no identifier or slot</t>
        </is>
      </c>
      <c r="I38" s="21" t="inlineStr">
        <is>
          <t>N/A</t>
        </is>
      </c>
      <c r="J38" s="22" t="inlineStr">
        <is>
          <t>None</t>
        </is>
      </c>
      <c r="K38" s="22" t="inlineStr">
        <is>
          <t>Works against SoftHSM2 AND verified end to end against Kryoptic (session 10), but uses the non-standard identifier EDDSA_ED25519. CNG defines no EdDSA algorithm ID so no stock application can request it. Nothing to fix in the KSP; blocked on Microsoft.</t>
        </is>
      </c>
    </row>
    <row r="39">
      <c r="A39" s="24" t="inlineStr">
        <is>
          <t>EDDSA-02</t>
        </is>
      </c>
      <c r="B39" s="24" t="inlineStr">
        <is>
          <t>Asymmetric EdDSA</t>
        </is>
      </c>
      <c r="C39" s="24" t="inlineStr">
        <is>
          <t>Ed448 signing</t>
        </is>
      </c>
      <c r="D39" s="25" t="inlineStr">
        <is>
          <t>114-byte raw signature</t>
        </is>
      </c>
      <c r="E39" s="26" t="inlineStr">
        <is>
          <t>Partial</t>
        </is>
      </c>
      <c r="F39" s="24" t="inlineStr">
        <is>
          <t>Partial</t>
        </is>
      </c>
      <c r="G39" s="24" t="inlineStr">
        <is>
          <t>A</t>
        </is>
      </c>
      <c r="H39" s="24" t="inlineStr">
        <is>
          <t>Blocked: CNG has no identifier or slot</t>
        </is>
      </c>
      <c r="I39" s="24" t="inlineStr">
        <is>
          <t>N/A</t>
        </is>
      </c>
      <c r="J39" s="25" t="inlineStr">
        <is>
          <t>None</t>
        </is>
      </c>
      <c r="K39" s="25" t="inlineStr">
        <is>
          <t>Same constraint as EDDSA-01. Note that Ed448 signing did not in fact work until session 10: CKM_EDDSA requires CK_EDDSA_PARAMS for Ed448 and the provider sent none. SoftHSM2 tolerates its absence, so this was invisible until a second token refused it.</t>
        </is>
      </c>
    </row>
    <row r="40">
      <c r="A40" s="21" t="inlineStr">
        <is>
          <t>EDDSA-03</t>
        </is>
      </c>
      <c r="B40" s="21" t="inlineStr">
        <is>
          <t>Asymmetric EdDSA</t>
        </is>
      </c>
      <c r="C40" s="21" t="inlineStr">
        <is>
          <t>X25519 key agreement</t>
        </is>
      </c>
      <c r="D40" s="22" t="inlineStr">
        <is>
          <t>Curve25519 ECDH</t>
        </is>
      </c>
      <c r="E40" s="23" t="inlineStr">
        <is>
          <t>Yes</t>
        </is>
      </c>
      <c r="F40" s="21" t="inlineStr">
        <is>
          <t>Covered</t>
        </is>
      </c>
      <c r="G40" s="21" t="inlineStr">
        <is>
          <t>A</t>
        </is>
      </c>
      <c r="H40" s="21" t="inlineStr"/>
      <c r="I40" s="21" t="inlineStr"/>
      <c r="J40" s="22" t="inlineStr">
        <is>
          <t>MS CNG has BCRYPT_ECC_CURVE_25519</t>
        </is>
      </c>
      <c r="K40" s="22" t="inlineStr"/>
    </row>
    <row r="41">
      <c r="A41" s="24" t="inlineStr">
        <is>
          <t>DSA-01</t>
        </is>
      </c>
      <c r="B41" s="24" t="inlineStr">
        <is>
          <t>Asymmetric DSA</t>
        </is>
      </c>
      <c r="C41" s="24" t="inlineStr">
        <is>
          <t>DSA signing</t>
        </is>
      </c>
      <c r="D41" s="25" t="inlineStr">
        <is>
          <t>512-1024 bits</t>
        </is>
      </c>
      <c r="E41" s="27" t="inlineStr">
        <is>
          <t>No</t>
        </is>
      </c>
      <c r="F41" s="24" t="inlineStr">
        <is>
          <t>Not covered</t>
        </is>
      </c>
      <c r="G41" s="24" t="inlineStr">
        <is>
          <t>B</t>
        </is>
      </c>
      <c r="H41" s="24" t="inlineStr">
        <is>
          <t>Deliberate position</t>
        </is>
      </c>
      <c r="I41" s="24" t="inlineStr">
        <is>
          <t>L</t>
        </is>
      </c>
      <c r="J41" s="25" t="inlineStr">
        <is>
          <t>MS Software KSP</t>
        </is>
      </c>
      <c r="K41" s="25" t="inlineStr">
        <is>
          <t>Deliberately out of scope. Deprecated in modern Windows PKI and absent from every HSM KSP surveyed.</t>
        </is>
      </c>
    </row>
    <row r="42">
      <c r="A42" s="21" t="inlineStr">
        <is>
          <t>PQC-01</t>
        </is>
      </c>
      <c r="B42" s="21" t="inlineStr">
        <is>
          <t>Post-quantum</t>
        </is>
      </c>
      <c r="C42" s="21" t="inlineStr">
        <is>
          <t>ML-DSA (Dilithium)</t>
        </is>
      </c>
      <c r="D42" s="22" t="inlineStr">
        <is>
          <t>FIPS 204</t>
        </is>
      </c>
      <c r="E42" s="26" t="inlineStr">
        <is>
          <t>Partial</t>
        </is>
      </c>
      <c r="F42" s="21" t="inlineStr">
        <is>
          <t>Partial</t>
        </is>
      </c>
      <c r="G42" s="21" t="inlineStr">
        <is>
          <t>A</t>
        </is>
      </c>
      <c r="H42" s="21" t="inlineStr">
        <is>
          <t>Blocked: needs ncrypt_provider.h / Windows</t>
        </is>
      </c>
      <c r="I42" s="21" t="inlineStr">
        <is>
          <t>M</t>
        </is>
      </c>
      <c r="J42" s="22" t="inlineStr">
        <is>
          <t>Microsoft Software KSP (GA late 2025; AD CS ML-DSA enrolment May 2026). Thales Luna firmware 7.9+ and Entrust nShield XC/5/nSaaS ship it in the device; whether their CNG providers expose it is not established</t>
        </is>
      </c>
      <c r="K42" s="22" t="inlineStr">
        <is>
          <t>ML-DSA is wired through the KSP and gated on the capability probe: mechanism resolution, CKA_PARAMETER_SET key generation for all three parameter sets, key reopen, and signing. Verified end to end in session 10 against Kryoptic built with its pqc feature over OpenSSL 3.5.8 — generation, reopen by parameter set, and signature at the exact size for ML-DSA-44/65/87. Unreachable on SoftHSM2 2.7.0, which defines the mechanisms and implements none of them. Still Partial for one reason only: public key export is refused, because the CNG post-quantum key blob layout is in a Windows SDK header not available here. That is the same blocker as BUILD-01 and no backend fixes it.</t>
        </is>
      </c>
    </row>
    <row r="43">
      <c r="A43" s="24" t="inlineStr">
        <is>
          <t>PQC-02</t>
        </is>
      </c>
      <c r="B43" s="24" t="inlineStr">
        <is>
          <t>Post-quantum</t>
        </is>
      </c>
      <c r="C43" s="24" t="inlineStr">
        <is>
          <t>ML-KEM (Kyber)</t>
        </is>
      </c>
      <c r="D43" s="25" t="inlineStr">
        <is>
          <t>FIPS 203</t>
        </is>
      </c>
      <c r="E43" s="27" t="inlineStr">
        <is>
          <t>No</t>
        </is>
      </c>
      <c r="F43" s="24" t="inlineStr">
        <is>
          <t>Not covered</t>
        </is>
      </c>
      <c r="G43" s="24" t="inlineStr">
        <is>
          <t>B</t>
        </is>
      </c>
      <c r="H43" s="24" t="inlineStr">
        <is>
          <t>Blocked: CNG has no identifier or slot</t>
        </is>
      </c>
      <c r="I43" s="24" t="inlineStr">
        <is>
          <t>L</t>
        </is>
      </c>
      <c r="J43" s="25" t="inlineStr">
        <is>
          <t>Microsoft CNG GA (BCrypt side). Thales and Entrust device firmware. No KSP-side exposure established for any provider</t>
        </is>
      </c>
      <c r="K43" s="25" t="inlineStr">
        <is>
          <t>NOT the same blocker as PQC-01. The probe recognises CKM_ML_KEM, so the backend is not what stops this: encapsulation and decapsulation have no slot in the NCRYPT_KEY_STORAGE_FUNCTION_TABLE this provider implements, so a KSP can hold an ML-KEM key with no entry point to use it. Whether a newer ncrypt_provider.h adds such slots cannot be determined here — same missing header as BUILD-01.</t>
        </is>
      </c>
    </row>
    <row r="44">
      <c r="A44" s="21" t="inlineStr">
        <is>
          <t>PQC-03</t>
        </is>
      </c>
      <c r="B44" s="21" t="inlineStr">
        <is>
          <t>Post-quantum</t>
        </is>
      </c>
      <c r="C44" s="21" t="inlineStr">
        <is>
          <t>LMS / XMSS</t>
        </is>
      </c>
      <c r="D44" s="22" t="inlineStr">
        <is>
          <t>Stateful hash-based signatures</t>
        </is>
      </c>
      <c r="E44" s="27" t="inlineStr">
        <is>
          <t>No</t>
        </is>
      </c>
      <c r="F44" s="21" t="inlineStr">
        <is>
          <t>Not covered</t>
        </is>
      </c>
      <c r="G44" s="21" t="inlineStr">
        <is>
          <t>C</t>
        </is>
      </c>
      <c r="H44" s="21" t="inlineStr">
        <is>
          <t>Blocked: no PKCS#11 mechanism</t>
        </is>
      </c>
      <c r="I44" s="21" t="inlineStr">
        <is>
          <t>L</t>
        </is>
      </c>
      <c r="J44" s="22" t="inlineStr">
        <is>
          <t>Thales Luna, Entrust nShield (device claims only)</t>
        </is>
      </c>
      <c r="K44" s="22" t="inlineStr">
        <is>
          <t>Blocked at the backend, unlike PQC-01: no PKCS#11 v3.2 token surveyed implements LMS or XMSS. Stateful schemes also need one-time-key state persistence the KSP has no model for, and a lost state update forges signatures.</t>
        </is>
      </c>
    </row>
    <row r="45">
      <c r="A45" s="24" t="inlineStr">
        <is>
          <t>AES-01</t>
        </is>
      </c>
      <c r="B45" s="24" t="inlineStr">
        <is>
          <t>Symmetric AES</t>
        </is>
      </c>
      <c r="C45" s="24" t="inlineStr">
        <is>
          <t>AES key generation</t>
        </is>
      </c>
      <c r="D45" s="25" t="inlineStr">
        <is>
          <t>128 / 192 / 256 bits</t>
        </is>
      </c>
      <c r="E45" s="23" t="inlineStr">
        <is>
          <t>Yes</t>
        </is>
      </c>
      <c r="F45" s="24" t="inlineStr">
        <is>
          <t>Covered</t>
        </is>
      </c>
      <c r="G45" s="24" t="inlineStr">
        <is>
          <t>A</t>
        </is>
      </c>
      <c r="H45" s="24" t="inlineStr"/>
      <c r="I45" s="24" t="inlineStr"/>
      <c r="J45" s="25" t="inlineStr">
        <is>
          <t>None via KSP</t>
        </is>
      </c>
      <c r="K45" s="25" t="inlineStr"/>
    </row>
    <row r="46">
      <c r="A46" s="21" t="inlineStr">
        <is>
          <t>AES-02</t>
        </is>
      </c>
      <c r="B46" s="21" t="inlineStr">
        <is>
          <t>Symmetric AES</t>
        </is>
      </c>
      <c r="C46" s="21" t="inlineStr">
        <is>
          <t>AES-ECB</t>
        </is>
      </c>
      <c r="D46" s="22" t="inlineStr">
        <is>
          <t>No IV</t>
        </is>
      </c>
      <c r="E46" s="23" t="inlineStr">
        <is>
          <t>Yes</t>
        </is>
      </c>
      <c r="F46" s="21" t="inlineStr">
        <is>
          <t>Covered</t>
        </is>
      </c>
      <c r="G46" s="21" t="inlineStr">
        <is>
          <t>A</t>
        </is>
      </c>
      <c r="H46" s="21" t="inlineStr"/>
      <c r="I46" s="21" t="inlineStr"/>
      <c r="J46" s="22" t="inlineStr">
        <is>
          <t>None via KSP</t>
        </is>
      </c>
      <c r="K46" s="22" t="inlineStr"/>
    </row>
    <row r="47">
      <c r="A47" s="24" t="inlineStr">
        <is>
          <t>AES-03</t>
        </is>
      </c>
      <c r="B47" s="24" t="inlineStr">
        <is>
          <t>Symmetric AES</t>
        </is>
      </c>
      <c r="C47" s="24" t="inlineStr">
        <is>
          <t>AES-CBC</t>
        </is>
      </c>
      <c r="D47" s="25" t="inlineStr">
        <is>
          <t>16-byte IV</t>
        </is>
      </c>
      <c r="E47" s="23" t="inlineStr">
        <is>
          <t>Yes</t>
        </is>
      </c>
      <c r="F47" s="24" t="inlineStr">
        <is>
          <t>Covered</t>
        </is>
      </c>
      <c r="G47" s="24" t="inlineStr">
        <is>
          <t>A</t>
        </is>
      </c>
      <c r="H47" s="24" t="inlineStr"/>
      <c r="I47" s="24" t="inlineStr"/>
      <c r="J47" s="25" t="inlineStr">
        <is>
          <t>None via KSP</t>
        </is>
      </c>
      <c r="K47" s="25" t="inlineStr"/>
    </row>
    <row r="48">
      <c r="A48" s="21" t="inlineStr">
        <is>
          <t>AES-04</t>
        </is>
      </c>
      <c r="B48" s="21" t="inlineStr">
        <is>
          <t>Symmetric AES</t>
        </is>
      </c>
      <c r="C48" s="21" t="inlineStr">
        <is>
          <t>AES-CBC with padding</t>
        </is>
      </c>
      <c r="D48" s="22" t="inlineStr">
        <is>
          <t>NCRYPT_PAD_CIPHER_FLAG</t>
        </is>
      </c>
      <c r="E48" s="23" t="inlineStr">
        <is>
          <t>Yes</t>
        </is>
      </c>
      <c r="F48" s="21" t="inlineStr">
        <is>
          <t>Covered</t>
        </is>
      </c>
      <c r="G48" s="21" t="inlineStr">
        <is>
          <t>A</t>
        </is>
      </c>
      <c r="H48" s="21" t="inlineStr"/>
      <c r="I48" s="21" t="inlineStr"/>
      <c r="J48" s="22" t="inlineStr">
        <is>
          <t>None via KSP</t>
        </is>
      </c>
      <c r="K48" s="22" t="inlineStr"/>
    </row>
    <row r="49">
      <c r="A49" s="24" t="inlineStr">
        <is>
          <t>AES-05</t>
        </is>
      </c>
      <c r="B49" s="24" t="inlineStr">
        <is>
          <t>Symmetric AES</t>
        </is>
      </c>
      <c r="C49" s="24" t="inlineStr">
        <is>
          <t>AES-GCM</t>
        </is>
      </c>
      <c r="D49" s="25" t="inlineStr">
        <is>
          <t>12-byte nonce; 128-bit tag; AAD</t>
        </is>
      </c>
      <c r="E49" s="23" t="inlineStr">
        <is>
          <t>Yes</t>
        </is>
      </c>
      <c r="F49" s="24" t="inlineStr">
        <is>
          <t>Covered</t>
        </is>
      </c>
      <c r="G49" s="24" t="inlineStr">
        <is>
          <t>A</t>
        </is>
      </c>
      <c r="H49" s="24" t="inlineStr"/>
      <c r="I49" s="24" t="inlineStr"/>
      <c r="J49" s="25" t="inlineStr">
        <is>
          <t>None via KSP</t>
        </is>
      </c>
      <c r="K49" s="25" t="inlineStr"/>
    </row>
    <row r="50">
      <c r="A50" s="21" t="inlineStr">
        <is>
          <t>AES-06</t>
        </is>
      </c>
      <c r="B50" s="21" t="inlineStr">
        <is>
          <t>Symmetric AES</t>
        </is>
      </c>
      <c r="C50" s="21" t="inlineStr">
        <is>
          <t>AES-CTR</t>
        </is>
      </c>
      <c r="D50" s="22" t="inlineStr">
        <is>
          <t>16-byte counter block</t>
        </is>
      </c>
      <c r="E50" s="26" t="inlineStr">
        <is>
          <t>Partial</t>
        </is>
      </c>
      <c r="F50" s="21" t="inlineStr">
        <is>
          <t>Partial</t>
        </is>
      </c>
      <c r="G50" s="21" t="inlineStr">
        <is>
          <t>A</t>
        </is>
      </c>
      <c r="H50" s="21" t="inlineStr">
        <is>
          <t>Blocked: CNG has no identifier or slot</t>
        </is>
      </c>
      <c r="I50" s="21" t="inlineStr">
        <is>
          <t>N/A</t>
        </is>
      </c>
      <c r="J50" s="22" t="inlineStr">
        <is>
          <t>None via KSP</t>
        </is>
      </c>
      <c r="K50" s="22" t="inlineStr">
        <is>
          <t>Works but ChainingModeCTR is a KSP extension. CNG defines no standard counter-mode string so no stock application will select it.</t>
        </is>
      </c>
    </row>
    <row r="51">
      <c r="A51" s="24" t="inlineStr">
        <is>
          <t>AES-07</t>
        </is>
      </c>
      <c r="B51" s="24" t="inlineStr">
        <is>
          <t>Symmetric AES</t>
        </is>
      </c>
      <c r="C51" s="24" t="inlineStr">
        <is>
          <t>AES-CCM</t>
        </is>
      </c>
      <c r="D51" s="25" t="inlineStr">
        <is>
          <t>Authenticated mode</t>
        </is>
      </c>
      <c r="E51" s="23" t="inlineStr">
        <is>
          <t>Yes</t>
        </is>
      </c>
      <c r="F51" s="24" t="inlineStr">
        <is>
          <t>Covered</t>
        </is>
      </c>
      <c r="G51" s="24" t="inlineStr">
        <is>
          <t>A</t>
        </is>
      </c>
      <c r="H51" s="24" t="inlineStr"/>
      <c r="I51" s="24" t="inlineStr"/>
      <c r="J51" s="25" t="inlineStr">
        <is>
          <t>None via KSP</t>
        </is>
      </c>
      <c r="K51" s="25" t="inlineStr"/>
    </row>
    <row r="52">
      <c r="A52" s="21" t="inlineStr">
        <is>
          <t>AES-08</t>
        </is>
      </c>
      <c r="B52" s="21" t="inlineStr">
        <is>
          <t>Symmetric AES</t>
        </is>
      </c>
      <c r="C52" s="21" t="inlineStr">
        <is>
          <t>AES-CFB</t>
        </is>
      </c>
      <c r="D52" s="22" t="inlineStr">
        <is>
          <t>Cipher feedback</t>
        </is>
      </c>
      <c r="E52" s="26" t="inlineStr">
        <is>
          <t>Partial</t>
        </is>
      </c>
      <c r="F52" s="21" t="inlineStr">
        <is>
          <t>Partial</t>
        </is>
      </c>
      <c r="G52" s="21" t="inlineStr">
        <is>
          <t>A</t>
        </is>
      </c>
      <c r="H52" s="21" t="inlineStr">
        <is>
          <t>Deliberate position</t>
        </is>
      </c>
      <c r="I52" s="21" t="inlineStr">
        <is>
          <t>M</t>
        </is>
      </c>
      <c r="J52" s="22" t="inlineStr">
        <is>
          <t>None via KSP</t>
        </is>
      </c>
      <c r="K52" s="22" t="inlineStr">
        <is>
          <t>Implemented and verified against a live token for both feedback sizes CNG can reach: the 8-bit default and full-block via MessageBlockLength. Partial because CNG permits any feedback size up to the block, while PKCS#11 defines mechanisms only for 1, 8, 64 and 128 bits; a size with no mechanism is refused rather than silently rounded to a different cipher.</t>
        </is>
      </c>
    </row>
    <row r="53">
      <c r="A53" s="24" t="inlineStr">
        <is>
          <t>AES-09</t>
        </is>
      </c>
      <c r="B53" s="24" t="inlineStr">
        <is>
          <t>Symmetric AES</t>
        </is>
      </c>
      <c r="C53" s="24" t="inlineStr">
        <is>
          <t>AES key wrap</t>
        </is>
      </c>
      <c r="D53" s="25" t="inlineStr">
        <is>
          <t>RFC 3394 / 5649</t>
        </is>
      </c>
      <c r="E53" s="23" t="inlineStr">
        <is>
          <t>Yes</t>
        </is>
      </c>
      <c r="F53" s="24" t="inlineStr">
        <is>
          <t>Covered</t>
        </is>
      </c>
      <c r="G53" s="24" t="inlineStr">
        <is>
          <t>A</t>
        </is>
      </c>
      <c r="H53" s="24" t="inlineStr"/>
      <c r="I53" s="24" t="inlineStr"/>
      <c r="J53" s="25" t="inlineStr">
        <is>
          <t>Some HSMs (device)</t>
        </is>
      </c>
      <c r="K53" s="25" t="inlineStr"/>
    </row>
    <row r="54">
      <c r="A54" s="21" t="inlineStr">
        <is>
          <t>AES-10</t>
        </is>
      </c>
      <c r="B54" s="21" t="inlineStr">
        <is>
          <t>Symmetric AES</t>
        </is>
      </c>
      <c r="C54" s="21" t="inlineStr">
        <is>
          <t>AES-CMAC</t>
        </is>
      </c>
      <c r="D54" s="22" t="inlineStr">
        <is>
          <t>Block-cipher MAC</t>
        </is>
      </c>
      <c r="E54" s="23" t="inlineStr">
        <is>
          <t>Yes</t>
        </is>
      </c>
      <c r="F54" s="21" t="inlineStr">
        <is>
          <t>Covered</t>
        </is>
      </c>
      <c r="G54" s="21" t="inlineStr">
        <is>
          <t>A</t>
        </is>
      </c>
      <c r="H54" s="21" t="inlineStr"/>
      <c r="I54" s="21" t="inlineStr"/>
      <c r="J54" s="22" t="inlineStr">
        <is>
          <t>Some HSMs (device)</t>
        </is>
      </c>
      <c r="K54" s="22" t="inlineStr"/>
    </row>
    <row r="55">
      <c r="A55" s="24" t="inlineStr">
        <is>
          <t>HMAC-01</t>
        </is>
      </c>
      <c r="B55" s="24" t="inlineStr">
        <is>
          <t>Symmetric MAC</t>
        </is>
      </c>
      <c r="C55" s="24" t="inlineStr">
        <is>
          <t>HMAC-SHA1 / 256 / 384 / 512</t>
        </is>
      </c>
      <c r="D55" s="25" t="inlineStr">
        <is>
          <t>Generic secret keys</t>
        </is>
      </c>
      <c r="E55" s="26" t="inlineStr">
        <is>
          <t>Partial</t>
        </is>
      </c>
      <c r="F55" s="24" t="inlineStr">
        <is>
          <t>Partial</t>
        </is>
      </c>
      <c r="G55" s="24" t="inlineStr">
        <is>
          <t>A</t>
        </is>
      </c>
      <c r="H55" s="24" t="inlineStr">
        <is>
          <t>Blocked: CNG has no identifier or slot</t>
        </is>
      </c>
      <c r="I55" s="24" t="inlineStr">
        <is>
          <t>N/A</t>
        </is>
      </c>
      <c r="J55" s="25" t="inlineStr">
        <is>
          <t>None via KSP</t>
        </is>
      </c>
      <c r="K55" s="25" t="inlineStr">
        <is>
          <t>Works against SoftHSM2 but HMAC_SHA* are our own identifiers. CNG does HMAC through BCrypt algorithm handles not KSP key algorithms.</t>
        </is>
      </c>
    </row>
    <row r="56">
      <c r="A56" s="21" t="inlineStr">
        <is>
          <t>HMAC-02</t>
        </is>
      </c>
      <c r="B56" s="21" t="inlineStr">
        <is>
          <t>Symmetric MAC</t>
        </is>
      </c>
      <c r="C56" s="21" t="inlineStr">
        <is>
          <t>HMAC-SHA224</t>
        </is>
      </c>
      <c r="D56" s="22" t="inlineStr">
        <is>
          <t>SHA-224 variant</t>
        </is>
      </c>
      <c r="E56" s="23" t="inlineStr">
        <is>
          <t>Yes</t>
        </is>
      </c>
      <c r="F56" s="21" t="inlineStr">
        <is>
          <t>Covered</t>
        </is>
      </c>
      <c r="G56" s="21" t="inlineStr">
        <is>
          <t>C</t>
        </is>
      </c>
      <c r="H56" s="21" t="inlineStr"/>
      <c r="I56" s="21" t="inlineStr"/>
      <c r="J56" s="22" t="inlineStr">
        <is>
          <t>None</t>
        </is>
      </c>
      <c r="K56" s="22" t="inlineStr"/>
    </row>
    <row r="57">
      <c r="A57" s="24" t="inlineStr">
        <is>
          <t>3DES-01</t>
        </is>
      </c>
      <c r="B57" s="24" t="inlineStr">
        <is>
          <t>Symmetric legacy</t>
        </is>
      </c>
      <c r="C57" s="24" t="inlineStr">
        <is>
          <t>3DES / DES</t>
        </is>
      </c>
      <c r="D57" s="25" t="inlineStr">
        <is>
          <t>56 / 112 / 168 bits</t>
        </is>
      </c>
      <c r="E57" s="27" t="inlineStr">
        <is>
          <t>No</t>
        </is>
      </c>
      <c r="F57" s="24" t="inlineStr">
        <is>
          <t>Not covered</t>
        </is>
      </c>
      <c r="G57" s="24" t="inlineStr">
        <is>
          <t>B</t>
        </is>
      </c>
      <c r="H57" s="24" t="inlineStr">
        <is>
          <t>Deliberate position</t>
        </is>
      </c>
      <c r="I57" s="24" t="inlineStr">
        <is>
          <t>L</t>
        </is>
      </c>
      <c r="J57" s="25" t="inlineStr">
        <is>
          <t>None via KSP</t>
        </is>
      </c>
      <c r="K57" s="25" t="inlineStr">
        <is>
          <t>Deliberately out of scope. Deprecated and excluded from modern HLK requirements despite SoftHSM2 supporting 14 DES mechanisms.</t>
        </is>
      </c>
    </row>
    <row r="58">
      <c r="A58" s="21" t="inlineStr">
        <is>
          <t>FMT-01</t>
        </is>
      </c>
      <c r="B58" s="21" t="inlineStr">
        <is>
          <t>Key formats</t>
        </is>
      </c>
      <c r="C58" s="21" t="inlineStr">
        <is>
          <t>BCRYPT_RSAPUBLIC_BLOB export</t>
        </is>
      </c>
      <c r="D58" s="22" t="inlineStr">
        <is>
          <t>Header + exponent + modulus</t>
        </is>
      </c>
      <c r="E58" s="23" t="inlineStr">
        <is>
          <t>Yes</t>
        </is>
      </c>
      <c r="F58" s="21" t="inlineStr">
        <is>
          <t>Covered</t>
        </is>
      </c>
      <c r="G58" s="21" t="inlineStr">
        <is>
          <t>A</t>
        </is>
      </c>
      <c r="H58" s="21" t="inlineStr"/>
      <c r="I58" s="21" t="inlineStr"/>
      <c r="J58" s="22" t="inlineStr">
        <is>
          <t>All providers</t>
        </is>
      </c>
      <c r="K58" s="22" t="inlineStr"/>
    </row>
    <row r="59">
      <c r="A59" s="24" t="inlineStr">
        <is>
          <t>FMT-02</t>
        </is>
      </c>
      <c r="B59" s="24" t="inlineStr">
        <is>
          <t>Key formats</t>
        </is>
      </c>
      <c r="C59" s="24" t="inlineStr">
        <is>
          <t>BCRYPT_ECCPUBLIC_BLOB export</t>
        </is>
      </c>
      <c r="D59" s="25" t="inlineStr">
        <is>
          <t>Header + X + Y</t>
        </is>
      </c>
      <c r="E59" s="23" t="inlineStr">
        <is>
          <t>Yes</t>
        </is>
      </c>
      <c r="F59" s="24" t="inlineStr">
        <is>
          <t>Covered</t>
        </is>
      </c>
      <c r="G59" s="24" t="inlineStr">
        <is>
          <t>A</t>
        </is>
      </c>
      <c r="H59" s="24" t="inlineStr"/>
      <c r="I59" s="24" t="inlineStr"/>
      <c r="J59" s="25" t="inlineStr">
        <is>
          <t>All providers</t>
        </is>
      </c>
      <c r="K59" s="25" t="inlineStr"/>
    </row>
    <row r="60">
      <c r="A60" s="21" t="inlineStr">
        <is>
          <t>FMT-03</t>
        </is>
      </c>
      <c r="B60" s="21" t="inlineStr">
        <is>
          <t>Key formats</t>
        </is>
      </c>
      <c r="C60" s="21" t="inlineStr">
        <is>
          <t>EdDSA public blob export</t>
        </is>
      </c>
      <c r="D60" s="22" t="inlineStr">
        <is>
          <t>Generic ECC magic + raw point</t>
        </is>
      </c>
      <c r="E60" s="23" t="inlineStr">
        <is>
          <t>Yes</t>
        </is>
      </c>
      <c r="F60" s="21" t="inlineStr">
        <is>
          <t>Covered</t>
        </is>
      </c>
      <c r="G60" s="21" t="inlineStr">
        <is>
          <t>A</t>
        </is>
      </c>
      <c r="H60" s="21" t="inlineStr"/>
      <c r="I60" s="21" t="inlineStr"/>
      <c r="J60" s="22" t="inlineStr">
        <is>
          <t>None</t>
        </is>
      </c>
      <c r="K60" s="22" t="inlineStr"/>
    </row>
    <row r="61">
      <c r="A61" s="24" t="inlineStr">
        <is>
          <t>FMT-04</t>
        </is>
      </c>
      <c r="B61" s="24" t="inlineStr">
        <is>
          <t>Key formats</t>
        </is>
      </c>
      <c r="C61" s="24" t="inlineStr">
        <is>
          <t>BCRYPT_RSAPUBLIC_BLOB import</t>
        </is>
      </c>
      <c r="D61" s="25" t="inlineStr">
        <is>
          <t>Creates a session public key object</t>
        </is>
      </c>
      <c r="E61" s="23" t="inlineStr">
        <is>
          <t>Yes</t>
        </is>
      </c>
      <c r="F61" s="24" t="inlineStr">
        <is>
          <t>Covered</t>
        </is>
      </c>
      <c r="G61" s="24" t="inlineStr">
        <is>
          <t>C</t>
        </is>
      </c>
      <c r="H61" s="24" t="inlineStr"/>
      <c r="I61" s="24" t="inlineStr"/>
      <c r="J61" s="25" t="inlineStr">
        <is>
          <t>Vendor-specific</t>
        </is>
      </c>
      <c r="K61" s="25" t="inlineStr"/>
    </row>
    <row r="62">
      <c r="A62" s="21" t="inlineStr">
        <is>
          <t>FMT-05</t>
        </is>
      </c>
      <c r="B62" s="21" t="inlineStr">
        <is>
          <t>Key formats</t>
        </is>
      </c>
      <c r="C62" s="21" t="inlineStr">
        <is>
          <t>BCRYPT_ECCPUBLIC_BLOB import</t>
        </is>
      </c>
      <c r="D62" s="22" t="inlineStr">
        <is>
          <t>Creates a session public key object</t>
        </is>
      </c>
      <c r="E62" s="23" t="inlineStr">
        <is>
          <t>Yes</t>
        </is>
      </c>
      <c r="F62" s="21" t="inlineStr">
        <is>
          <t>Covered</t>
        </is>
      </c>
      <c r="G62" s="21" t="inlineStr">
        <is>
          <t>C</t>
        </is>
      </c>
      <c r="H62" s="21" t="inlineStr"/>
      <c r="I62" s="21" t="inlineStr"/>
      <c r="J62" s="22" t="inlineStr">
        <is>
          <t>Vendor-specific</t>
        </is>
      </c>
      <c r="K62" s="22" t="inlineStr"/>
    </row>
    <row r="63">
      <c r="A63" s="24" t="inlineStr">
        <is>
          <t>FMT-06</t>
        </is>
      </c>
      <c r="B63" s="24" t="inlineStr">
        <is>
          <t>Key formats</t>
        </is>
      </c>
      <c r="C63" s="24" t="inlineStr">
        <is>
          <t>Private key export</t>
        </is>
      </c>
      <c r="D63" s="25" t="inlineStr">
        <is>
          <t>RSAFULLPRIVATE / ECCPRIVATE</t>
        </is>
      </c>
      <c r="E63" s="27" t="inlineStr">
        <is>
          <t>No</t>
        </is>
      </c>
      <c r="F63" s="24" t="inlineStr">
        <is>
          <t>Not covered</t>
        </is>
      </c>
      <c r="G63" s="24" t="inlineStr">
        <is>
          <t>A</t>
        </is>
      </c>
      <c r="H63" s="24" t="inlineStr">
        <is>
          <t>Deliberate position</t>
        </is>
      </c>
      <c r="I63" s="24" t="inlineStr">
        <is>
          <t>N/A</t>
        </is>
      </c>
      <c r="J63" s="25" t="inlineStr">
        <is>
          <t>None (all refuse)</t>
        </is>
      </c>
      <c r="K63" s="25" t="inlineStr">
        <is>
          <t>Refused by design with NTE_NOT_SUPPORTED. Keys are CKA_EXTRACTABLE=FALSE. This is correct HSM behaviour not a gap.</t>
        </is>
      </c>
    </row>
    <row r="64">
      <c r="A64" s="21" t="inlineStr">
        <is>
          <t>FMT-07</t>
        </is>
      </c>
      <c r="B64" s="21" t="inlineStr">
        <is>
          <t>Key formats</t>
        </is>
      </c>
      <c r="C64" s="21" t="inlineStr">
        <is>
          <t>Private key import</t>
        </is>
      </c>
      <c r="D64" s="22" t="inlineStr">
        <is>
          <t>Wrapping an external private key onto the token</t>
        </is>
      </c>
      <c r="E64" s="27" t="inlineStr">
        <is>
          <t>No</t>
        </is>
      </c>
      <c r="F64" s="21" t="inlineStr">
        <is>
          <t>Not covered</t>
        </is>
      </c>
      <c r="G64" s="21" t="inlineStr">
        <is>
          <t>C</t>
        </is>
      </c>
      <c r="H64" s="21" t="inlineStr">
        <is>
          <t>Deliberate position</t>
        </is>
      </c>
      <c r="I64" s="21" t="inlineStr">
        <is>
          <t>L</t>
        </is>
      </c>
      <c r="J64" s="22" t="inlineStr">
        <is>
          <t>Some HSMs</t>
        </is>
      </c>
      <c r="K64" s="22" t="inlineStr">
        <is>
          <t>Returns NTE_NOT_SUPPORTED. Would need C_CreateObject with private material or C_UnwrapKey. Contradicts the HSM posture; only add if a migration workflow demands it.</t>
        </is>
      </c>
    </row>
    <row r="65">
      <c r="A65" s="24" t="inlineStr">
        <is>
          <t>FMT-08</t>
        </is>
      </c>
      <c r="B65" s="24" t="inlineStr">
        <is>
          <t>Key formats</t>
        </is>
      </c>
      <c r="C65" s="24" t="inlineStr">
        <is>
          <t>BCRYPT_KEY_DATA_BLOB</t>
        </is>
      </c>
      <c r="D65" s="25" t="inlineStr">
        <is>
          <t>Raw symmetric key material</t>
        </is>
      </c>
      <c r="E65" s="23" t="inlineStr">
        <is>
          <t>Yes</t>
        </is>
      </c>
      <c r="F65" s="24" t="inlineStr">
        <is>
          <t>Covered</t>
        </is>
      </c>
      <c r="G65" s="24" t="inlineStr">
        <is>
          <t>A</t>
        </is>
      </c>
      <c r="H65" s="24" t="inlineStr"/>
      <c r="I65" s="24" t="inlineStr"/>
      <c r="J65" s="25" t="inlineStr">
        <is>
          <t>MS Software KSP</t>
        </is>
      </c>
      <c r="K65" s="25" t="inlineStr"/>
    </row>
    <row r="66">
      <c r="A66" s="21" t="inlineStr">
        <is>
          <t>FMT-09</t>
        </is>
      </c>
      <c r="B66" s="21" t="inlineStr">
        <is>
          <t>Key formats</t>
        </is>
      </c>
      <c r="C66" s="21" t="inlineStr">
        <is>
          <t>PKCS#8 blob</t>
        </is>
      </c>
      <c r="D66" s="22" t="inlineStr">
        <is>
          <t>NCRYPT_PKCS8_PRIVATE_KEY_BLOB</t>
        </is>
      </c>
      <c r="E66" s="27" t="inlineStr">
        <is>
          <t>No</t>
        </is>
      </c>
      <c r="F66" s="21" t="inlineStr">
        <is>
          <t>Not covered</t>
        </is>
      </c>
      <c r="G66" s="21" t="inlineStr">
        <is>
          <t>B</t>
        </is>
      </c>
      <c r="H66" s="21" t="inlineStr">
        <is>
          <t>Deliberate position</t>
        </is>
      </c>
      <c r="I66" s="21" t="inlineStr">
        <is>
          <t>L</t>
        </is>
      </c>
      <c r="J66" s="22" t="inlineStr">
        <is>
          <t>MS Software KSP</t>
        </is>
      </c>
      <c r="K66" s="22" t="inlineStr">
        <is>
          <t>Same constraint as FMT-07: it is a private-key format and keys are non-extractable.</t>
        </is>
      </c>
    </row>
    <row r="67">
      <c r="A67" s="24" t="inlineStr">
        <is>
          <t>FMT-10</t>
        </is>
      </c>
      <c r="B67" s="24" t="inlineStr">
        <is>
          <t>Key formats</t>
        </is>
      </c>
      <c r="C67" s="24" t="inlineStr">
        <is>
          <t>OPAQUETRANSPORT blob</t>
        </is>
      </c>
      <c r="D67" s="25" t="inlineStr">
        <is>
          <t>Vendor-opaque key transport</t>
        </is>
      </c>
      <c r="E67" s="27" t="inlineStr">
        <is>
          <t>No</t>
        </is>
      </c>
      <c r="F67" s="24" t="inlineStr">
        <is>
          <t>Not covered</t>
        </is>
      </c>
      <c r="G67" s="24" t="inlineStr">
        <is>
          <t>C</t>
        </is>
      </c>
      <c r="H67" s="24" t="inlineStr">
        <is>
          <t>Blocked: no PKCS#11 mechanism</t>
        </is>
      </c>
      <c r="I67" s="24" t="inlineStr">
        <is>
          <t>L</t>
        </is>
      </c>
      <c r="J67" s="25" t="inlineStr">
        <is>
          <t>Vendor-specific</t>
        </is>
      </c>
      <c r="K67" s="25" t="inlineStr">
        <is>
          <t>Would let keys move between instances of the same provider. Needs a defined wrapping format; no standard to follow.</t>
        </is>
      </c>
    </row>
    <row r="68">
      <c r="A68" s="21" t="inlineStr">
        <is>
          <t>PROP-01</t>
        </is>
      </c>
      <c r="B68" s="21" t="inlineStr">
        <is>
          <t>Key properties</t>
        </is>
      </c>
      <c r="C68" s="21" t="inlineStr">
        <is>
          <t>NCRYPT_ALGORITHM_PROPERTY</t>
        </is>
      </c>
      <c r="D68" s="22" t="inlineStr">
        <is>
          <t>Read</t>
        </is>
      </c>
      <c r="E68" s="23" t="inlineStr">
        <is>
          <t>Yes</t>
        </is>
      </c>
      <c r="F68" s="21" t="inlineStr">
        <is>
          <t>Covered</t>
        </is>
      </c>
      <c r="G68" s="21" t="inlineStr">
        <is>
          <t>A</t>
        </is>
      </c>
      <c r="H68" s="21" t="inlineStr"/>
      <c r="I68" s="21" t="inlineStr"/>
      <c r="J68" s="22" t="inlineStr">
        <is>
          <t>All providers</t>
        </is>
      </c>
      <c r="K68" s="22" t="inlineStr"/>
    </row>
    <row r="69">
      <c r="A69" s="24" t="inlineStr">
        <is>
          <t>PROP-02</t>
        </is>
      </c>
      <c r="B69" s="24" t="inlineStr">
        <is>
          <t>Key properties</t>
        </is>
      </c>
      <c r="C69" s="24" t="inlineStr">
        <is>
          <t>NCRYPT_LENGTH_PROPERTY</t>
        </is>
      </c>
      <c r="D69" s="25" t="inlineStr">
        <is>
          <t>Read and write before finalize</t>
        </is>
      </c>
      <c r="E69" s="23" t="inlineStr">
        <is>
          <t>Yes</t>
        </is>
      </c>
      <c r="F69" s="24" t="inlineStr">
        <is>
          <t>Covered</t>
        </is>
      </c>
      <c r="G69" s="24" t="inlineStr">
        <is>
          <t>A</t>
        </is>
      </c>
      <c r="H69" s="24" t="inlineStr"/>
      <c r="I69" s="24" t="inlineStr"/>
      <c r="J69" s="25" t="inlineStr">
        <is>
          <t>All providers</t>
        </is>
      </c>
      <c r="K69" s="25" t="inlineStr"/>
    </row>
    <row r="70">
      <c r="A70" s="21" t="inlineStr">
        <is>
          <t>PROP-03</t>
        </is>
      </c>
      <c r="B70" s="21" t="inlineStr">
        <is>
          <t>Key properties</t>
        </is>
      </c>
      <c r="C70" s="21" t="inlineStr">
        <is>
          <t>NCRYPT_KEY_TYPE_PROPERTY</t>
        </is>
      </c>
      <c r="D70" s="22" t="inlineStr">
        <is>
          <t>AT_SIGNATURE / AT_KEYEXCHANGE</t>
        </is>
      </c>
      <c r="E70" s="23" t="inlineStr">
        <is>
          <t>Yes</t>
        </is>
      </c>
      <c r="F70" s="21" t="inlineStr">
        <is>
          <t>Covered</t>
        </is>
      </c>
      <c r="G70" s="21" t="inlineStr">
        <is>
          <t>A</t>
        </is>
      </c>
      <c r="H70" s="21" t="inlineStr"/>
      <c r="I70" s="21" t="inlineStr"/>
      <c r="J70" s="22" t="inlineStr">
        <is>
          <t>All providers</t>
        </is>
      </c>
      <c r="K70" s="22" t="inlineStr"/>
    </row>
    <row r="71">
      <c r="A71" s="24" t="inlineStr">
        <is>
          <t>PROP-04</t>
        </is>
      </c>
      <c r="B71" s="24" t="inlineStr">
        <is>
          <t>Key properties</t>
        </is>
      </c>
      <c r="C71" s="24" t="inlineStr">
        <is>
          <t>NCRYPT_NAME / UNIQUE_NAME</t>
        </is>
      </c>
      <c r="D71" s="25" t="inlineStr">
        <is>
          <t>Key label</t>
        </is>
      </c>
      <c r="E71" s="23" t="inlineStr">
        <is>
          <t>Yes</t>
        </is>
      </c>
      <c r="F71" s="24" t="inlineStr">
        <is>
          <t>Covered</t>
        </is>
      </c>
      <c r="G71" s="24" t="inlineStr">
        <is>
          <t>A</t>
        </is>
      </c>
      <c r="H71" s="24" t="inlineStr"/>
      <c r="I71" s="24" t="inlineStr"/>
      <c r="J71" s="25" t="inlineStr">
        <is>
          <t>All providers</t>
        </is>
      </c>
      <c r="K71" s="25" t="inlineStr"/>
    </row>
    <row r="72">
      <c r="A72" s="21" t="inlineStr">
        <is>
          <t>PROP-05</t>
        </is>
      </c>
      <c r="B72" s="21" t="inlineStr">
        <is>
          <t>Key properties</t>
        </is>
      </c>
      <c r="C72" s="21" t="inlineStr">
        <is>
          <t>NCRYPT_EXPORT_POLICY_PROPERTY</t>
        </is>
      </c>
      <c r="D72" s="22" t="inlineStr">
        <is>
          <t>Caller declares before FinalizeKey whether a key may leave the token and in what form; default 0 seals it</t>
        </is>
      </c>
      <c r="E72" s="23" t="inlineStr">
        <is>
          <t>Yes</t>
        </is>
      </c>
      <c r="F72" s="21" t="inlineStr">
        <is>
          <t>Covered</t>
        </is>
      </c>
      <c r="G72" s="21" t="inlineStr">
        <is>
          <t>A</t>
        </is>
      </c>
      <c r="H72" s="21" t="inlineStr"/>
      <c r="I72" s="21" t="inlineStr"/>
      <c r="J72" s="22" t="inlineStr">
        <is>
          <t>All providers</t>
        </is>
      </c>
      <c r="K72" s="22" t="inlineStr"/>
    </row>
    <row r="73">
      <c r="A73" s="24" t="inlineStr">
        <is>
          <t>PROP-06</t>
        </is>
      </c>
      <c r="B73" s="24" t="inlineStr">
        <is>
          <t>Key properties</t>
        </is>
      </c>
      <c r="C73" s="24" t="inlineStr">
        <is>
          <t>NCRYPT_KEY_USAGE_PROPERTY</t>
        </is>
      </c>
      <c r="D73" s="25" t="inlineStr">
        <is>
          <t>Signing / decrypt / key agreement flags</t>
        </is>
      </c>
      <c r="E73" s="23" t="inlineStr">
        <is>
          <t>Yes</t>
        </is>
      </c>
      <c r="F73" s="24" t="inlineStr">
        <is>
          <t>Covered</t>
        </is>
      </c>
      <c r="G73" s="24" t="inlineStr">
        <is>
          <t>A</t>
        </is>
      </c>
      <c r="H73" s="24" t="inlineStr"/>
      <c r="I73" s="24" t="inlineStr"/>
      <c r="J73" s="25" t="inlineStr">
        <is>
          <t>All providers</t>
        </is>
      </c>
      <c r="K73" s="25" t="inlineStr"/>
    </row>
    <row r="74">
      <c r="A74" s="21" t="inlineStr">
        <is>
          <t>PROP-07</t>
        </is>
      </c>
      <c r="B74" s="21" t="inlineStr">
        <is>
          <t>Key properties</t>
        </is>
      </c>
      <c r="C74" s="21" t="inlineStr">
        <is>
          <t>NCRYPT_ALGORITHM_GROUP_PROPERTY</t>
        </is>
      </c>
      <c r="D74" s="22" t="inlineStr">
        <is>
          <t>RSA / ECDSA / ECDH / EDDSA / AES / HMAC</t>
        </is>
      </c>
      <c r="E74" s="23" t="inlineStr">
        <is>
          <t>Yes</t>
        </is>
      </c>
      <c r="F74" s="21" t="inlineStr">
        <is>
          <t>Covered</t>
        </is>
      </c>
      <c r="G74" s="21" t="inlineStr">
        <is>
          <t>A</t>
        </is>
      </c>
      <c r="H74" s="21" t="inlineStr"/>
      <c r="I74" s="21" t="inlineStr"/>
      <c r="J74" s="22" t="inlineStr">
        <is>
          <t>All providers</t>
        </is>
      </c>
      <c r="K74" s="22" t="inlineStr"/>
    </row>
    <row r="75">
      <c r="A75" s="24" t="inlineStr">
        <is>
          <t>PROP-08</t>
        </is>
      </c>
      <c r="B75" s="24" t="inlineStr">
        <is>
          <t>Key properties</t>
        </is>
      </c>
      <c r="C75" s="24" t="inlineStr">
        <is>
          <t>NCRYPT_CHAINING_MODE_PROPERTY</t>
        </is>
      </c>
      <c r="D75" s="25" t="inlineStr">
        <is>
          <t>Read and write on symmetric keys</t>
        </is>
      </c>
      <c r="E75" s="23" t="inlineStr">
        <is>
          <t>Yes</t>
        </is>
      </c>
      <c r="F75" s="24" t="inlineStr">
        <is>
          <t>Covered</t>
        </is>
      </c>
      <c r="G75" s="24" t="inlineStr">
        <is>
          <t>A</t>
        </is>
      </c>
      <c r="H75" s="24" t="inlineStr"/>
      <c r="I75" s="24" t="inlineStr"/>
      <c r="J75" s="25" t="inlineStr">
        <is>
          <t>MS Software KSP (BCrypt)</t>
        </is>
      </c>
      <c r="K75" s="25" t="inlineStr"/>
    </row>
    <row r="76">
      <c r="A76" s="21" t="inlineStr">
        <is>
          <t>PROP-09</t>
        </is>
      </c>
      <c r="B76" s="21" t="inlineStr">
        <is>
          <t>Key properties</t>
        </is>
      </c>
      <c r="C76" s="21" t="inlineStr">
        <is>
          <t>NCRYPT_INITIALIZATION_VECTOR</t>
        </is>
      </c>
      <c r="D76" s="22" t="inlineStr">
        <is>
          <t>Read and write on symmetric keys</t>
        </is>
      </c>
      <c r="E76" s="23" t="inlineStr">
        <is>
          <t>Yes</t>
        </is>
      </c>
      <c r="F76" s="21" t="inlineStr">
        <is>
          <t>Covered</t>
        </is>
      </c>
      <c r="G76" s="21" t="inlineStr">
        <is>
          <t>A</t>
        </is>
      </c>
      <c r="H76" s="21" t="inlineStr"/>
      <c r="I76" s="21" t="inlineStr"/>
      <c r="J76" s="22" t="inlineStr">
        <is>
          <t>MS Software KSP (BCrypt)</t>
        </is>
      </c>
      <c r="K76" s="22" t="inlineStr"/>
    </row>
    <row r="77">
      <c r="A77" s="24" t="inlineStr">
        <is>
          <t>PROP-10</t>
        </is>
      </c>
      <c r="B77" s="24" t="inlineStr">
        <is>
          <t>Key properties</t>
        </is>
      </c>
      <c r="C77" s="24" t="inlineStr">
        <is>
          <t>NCRYPT_BLOCK_LENGTH_PROPERTY</t>
        </is>
      </c>
      <c r="D77" s="25" t="inlineStr">
        <is>
          <t>AES block size</t>
        </is>
      </c>
      <c r="E77" s="23" t="inlineStr">
        <is>
          <t>Yes</t>
        </is>
      </c>
      <c r="F77" s="24" t="inlineStr">
        <is>
          <t>Covered</t>
        </is>
      </c>
      <c r="G77" s="24" t="inlineStr">
        <is>
          <t>B</t>
        </is>
      </c>
      <c r="H77" s="24" t="inlineStr"/>
      <c r="I77" s="24" t="inlineStr"/>
      <c r="J77" s="25" t="inlineStr">
        <is>
          <t>MS Software KSP</t>
        </is>
      </c>
      <c r="K77" s="25" t="inlineStr"/>
    </row>
    <row r="78">
      <c r="A78" s="21" t="inlineStr">
        <is>
          <t>PROP-11</t>
        </is>
      </c>
      <c r="B78" s="21" t="inlineStr">
        <is>
          <t>Key properties</t>
        </is>
      </c>
      <c r="C78" s="21" t="inlineStr">
        <is>
          <t>NCRYPT_SECURITY_DESCR_PROPERTY</t>
        </is>
      </c>
      <c r="D78" s="22" t="inlineStr">
        <is>
          <t>Per-key ACL</t>
        </is>
      </c>
      <c r="E78" s="27" t="inlineStr">
        <is>
          <t>No</t>
        </is>
      </c>
      <c r="F78" s="21" t="inlineStr">
        <is>
          <t>Not covered</t>
        </is>
      </c>
      <c r="G78" s="21" t="inlineStr">
        <is>
          <t>B</t>
        </is>
      </c>
      <c r="H78" s="21" t="inlineStr">
        <is>
          <t>Blocked: no PKCS#11 mechanism</t>
        </is>
      </c>
      <c r="I78" s="21" t="inlineStr">
        <is>
          <t>L</t>
        </is>
      </c>
      <c r="J78" s="22" t="inlineStr">
        <is>
          <t>MS Software KSP</t>
        </is>
      </c>
      <c r="K78" s="22" t="inlineStr">
        <is>
          <t>Returns NTE_NOT_SUPPORTED. PKCS#11 has no ACL model; would need a side-channel store mapping key labels to SDDL strings.</t>
        </is>
      </c>
    </row>
    <row r="79">
      <c r="A79" s="24" t="inlineStr">
        <is>
          <t>PROP-12</t>
        </is>
      </c>
      <c r="B79" s="24" t="inlineStr">
        <is>
          <t>Key properties</t>
        </is>
      </c>
      <c r="C79" s="24" t="inlineStr">
        <is>
          <t>NCRYPT_UI_POLICY_PROPERTY</t>
        </is>
      </c>
      <c r="D79" s="25" t="inlineStr">
        <is>
          <t>Strong-key protection prompt</t>
        </is>
      </c>
      <c r="E79" s="27" t="inlineStr">
        <is>
          <t>No</t>
        </is>
      </c>
      <c r="F79" s="24" t="inlineStr">
        <is>
          <t>Not covered</t>
        </is>
      </c>
      <c r="G79" s="24" t="inlineStr">
        <is>
          <t>B</t>
        </is>
      </c>
      <c r="H79" s="24" t="inlineStr">
        <is>
          <t>Deliberate position</t>
        </is>
      </c>
      <c r="I79" s="24" t="inlineStr">
        <is>
          <t>L</t>
        </is>
      </c>
      <c r="J79" s="25" t="inlineStr">
        <is>
          <t>MS Software KSP; smart cards</t>
        </is>
      </c>
      <c r="K79" s="25" t="inlineStr">
        <is>
          <t>Depends on PromptUser (IFACE-07). Same UI-thread requirement.</t>
        </is>
      </c>
    </row>
    <row r="80">
      <c r="A80" s="21" t="inlineStr">
        <is>
          <t>PROP-13</t>
        </is>
      </c>
      <c r="B80" s="21" t="inlineStr">
        <is>
          <t>Key properties</t>
        </is>
      </c>
      <c r="C80" s="21" t="inlineStr">
        <is>
          <t>NCRYPT_PIN_PROPERTY</t>
        </is>
      </c>
      <c r="D80" s="22" t="inlineStr">
        <is>
          <t>Per-key PIN</t>
        </is>
      </c>
      <c r="E80" s="23" t="inlineStr">
        <is>
          <t>Yes</t>
        </is>
      </c>
      <c r="F80" s="21" t="inlineStr">
        <is>
          <t>Covered</t>
        </is>
      </c>
      <c r="G80" s="21" t="inlineStr">
        <is>
          <t>A</t>
        </is>
      </c>
      <c r="H80" s="21" t="inlineStr"/>
      <c r="I80" s="21" t="inlineStr"/>
      <c r="J80" s="22" t="inlineStr">
        <is>
          <t>Smart card KSPs</t>
        </is>
      </c>
      <c r="K80" s="22" t="inlineStr"/>
    </row>
    <row r="81">
      <c r="A81" s="24" t="inlineStr">
        <is>
          <t>PROP-14</t>
        </is>
      </c>
      <c r="B81" s="24" t="inlineStr">
        <is>
          <t>Key properties</t>
        </is>
      </c>
      <c r="C81" s="24" t="inlineStr">
        <is>
          <t>NCRYPT_CERTIFICATE_PROPERTY</t>
        </is>
      </c>
      <c r="D81" s="25" t="inlineStr">
        <is>
          <t>Certificate stored alongside the key</t>
        </is>
      </c>
      <c r="E81" s="23" t="inlineStr">
        <is>
          <t>Yes</t>
        </is>
      </c>
      <c r="F81" s="24" t="inlineStr">
        <is>
          <t>Covered</t>
        </is>
      </c>
      <c r="G81" s="24" t="inlineStr">
        <is>
          <t>A</t>
        </is>
      </c>
      <c r="H81" s="24" t="inlineStr"/>
      <c r="I81" s="24" t="inlineStr"/>
      <c r="J81" s="25" t="inlineStr">
        <is>
          <t>Smart card KSPs</t>
        </is>
      </c>
      <c r="K81" s="25" t="inlineStr"/>
    </row>
    <row r="82">
      <c r="A82" s="21" t="inlineStr">
        <is>
          <t>PROP-15</t>
        </is>
      </c>
      <c r="B82" s="21" t="inlineStr">
        <is>
          <t>Key properties</t>
        </is>
      </c>
      <c r="C82" s="21" t="inlineStr">
        <is>
          <t>NCRYPT_WINDOW_HANDLE_PROPERTY</t>
        </is>
      </c>
      <c r="D82" s="22" t="inlineStr">
        <is>
          <t>Parent HWND for dialogs</t>
        </is>
      </c>
      <c r="E82" s="27" t="inlineStr">
        <is>
          <t>No</t>
        </is>
      </c>
      <c r="F82" s="21" t="inlineStr">
        <is>
          <t>Not covered</t>
        </is>
      </c>
      <c r="G82" s="21" t="inlineStr">
        <is>
          <t>B</t>
        </is>
      </c>
      <c r="H82" s="21" t="inlineStr">
        <is>
          <t>Deliberate position</t>
        </is>
      </c>
      <c r="I82" s="21" t="inlineStr">
        <is>
          <t>L</t>
        </is>
      </c>
      <c r="J82" s="22" t="inlineStr">
        <is>
          <t>Smart card KSPs</t>
        </is>
      </c>
      <c r="K82" s="22" t="inlineStr">
        <is>
          <t>Only meaningful with PromptUser (IFACE-07).</t>
        </is>
      </c>
    </row>
    <row r="83">
      <c r="A83" s="24" t="inlineStr">
        <is>
          <t>PROP-16</t>
        </is>
      </c>
      <c r="B83" s="24" t="inlineStr">
        <is>
          <t>Key properties</t>
        </is>
      </c>
      <c r="C83" s="24" t="inlineStr">
        <is>
          <t>NCRYPT_USE_COUNT_PROPERTY</t>
        </is>
      </c>
      <c r="D83" s="25" t="inlineStr">
        <is>
          <t>Key usage counter</t>
        </is>
      </c>
      <c r="E83" s="27" t="inlineStr">
        <is>
          <t>No</t>
        </is>
      </c>
      <c r="F83" s="24" t="inlineStr">
        <is>
          <t>Not covered</t>
        </is>
      </c>
      <c r="G83" s="24" t="inlineStr">
        <is>
          <t>C</t>
        </is>
      </c>
      <c r="H83" s="24" t="inlineStr">
        <is>
          <t>Blocked: no PKCS#11 mechanism</t>
        </is>
      </c>
      <c r="I83" s="24" t="inlineStr">
        <is>
          <t>L</t>
        </is>
      </c>
      <c r="J83" s="25" t="inlineStr">
        <is>
          <t>Some HSMs</t>
        </is>
      </c>
      <c r="K83" s="25" t="inlineStr">
        <is>
          <t>Would need a counter object on the token incremented per operation. SoftHSM2 has no atomic counter primitive.</t>
        </is>
      </c>
    </row>
    <row r="84">
      <c r="A84" s="21" t="inlineStr">
        <is>
          <t>PROP-19</t>
        </is>
      </c>
      <c r="B84" s="21" t="inlineStr">
        <is>
          <t>Key properties</t>
        </is>
      </c>
      <c r="C84" s="21" t="inlineStr">
        <is>
          <t>NCRYPT_LENGTHS_PROPERTY</t>
        </is>
      </c>
      <c r="D84" s="22" t="inlineStr">
        <is>
          <t>Supported key sizes for the algorithm (NCRYPT_SUPPORTED_LENGTHS)</t>
        </is>
      </c>
      <c r="E84" s="23" t="inlineStr">
        <is>
          <t>Yes</t>
        </is>
      </c>
      <c r="F84" s="21" t="inlineStr">
        <is>
          <t>Covered</t>
        </is>
      </c>
      <c r="G84" s="21" t="inlineStr">
        <is>
          <t>A</t>
        </is>
      </c>
      <c r="H84" s="21" t="inlineStr"/>
      <c r="I84" s="21" t="inlineStr"/>
      <c r="J84" s="22" t="inlineStr">
        <is>
          <t>All providers</t>
        </is>
      </c>
      <c r="K84" s="22" t="inlineStr"/>
    </row>
    <row r="85">
      <c r="A85" s="24" t="inlineStr">
        <is>
          <t>LIFE-01</t>
        </is>
      </c>
      <c r="B85" s="24" t="inlineStr">
        <is>
          <t>Key lifecycle</t>
        </is>
      </c>
      <c r="C85" s="24" t="inlineStr">
        <is>
          <t>CreatePersistedKey</t>
        </is>
      </c>
      <c r="D85" s="25" t="inlineStr">
        <is>
          <t>Immediate and deferred generation</t>
        </is>
      </c>
      <c r="E85" s="23" t="inlineStr">
        <is>
          <t>Yes</t>
        </is>
      </c>
      <c r="F85" s="24" t="inlineStr">
        <is>
          <t>Covered</t>
        </is>
      </c>
      <c r="G85" s="24" t="inlineStr">
        <is>
          <t>A</t>
        </is>
      </c>
      <c r="H85" s="24" t="inlineStr"/>
      <c r="I85" s="24" t="inlineStr"/>
      <c r="J85" s="25" t="inlineStr">
        <is>
          <t>All providers</t>
        </is>
      </c>
      <c r="K85" s="25" t="inlineStr"/>
    </row>
    <row r="86">
      <c r="A86" s="21" t="inlineStr">
        <is>
          <t>LIFE-02</t>
        </is>
      </c>
      <c r="B86" s="21" t="inlineStr">
        <is>
          <t>Key lifecycle</t>
        </is>
      </c>
      <c r="C86" s="21" t="inlineStr">
        <is>
          <t>FinalizeKey</t>
        </is>
      </c>
      <c r="D86" s="22" t="inlineStr">
        <is>
          <t>Deferred generation trigger</t>
        </is>
      </c>
      <c r="E86" s="23" t="inlineStr">
        <is>
          <t>Yes</t>
        </is>
      </c>
      <c r="F86" s="21" t="inlineStr">
        <is>
          <t>Covered</t>
        </is>
      </c>
      <c r="G86" s="21" t="inlineStr">
        <is>
          <t>A</t>
        </is>
      </c>
      <c r="H86" s="21" t="inlineStr"/>
      <c r="I86" s="21" t="inlineStr"/>
      <c r="J86" s="22" t="inlineStr">
        <is>
          <t>All providers</t>
        </is>
      </c>
      <c r="K86" s="22" t="inlineStr"/>
    </row>
    <row r="87">
      <c r="A87" s="24" t="inlineStr">
        <is>
          <t>LIFE-03</t>
        </is>
      </c>
      <c r="B87" s="24" t="inlineStr">
        <is>
          <t>Key lifecycle</t>
        </is>
      </c>
      <c r="C87" s="24" t="inlineStr">
        <is>
          <t>OpenKey by name</t>
        </is>
      </c>
      <c r="D87" s="25" t="inlineStr">
        <is>
          <t>Asymmetric and symmetric</t>
        </is>
      </c>
      <c r="E87" s="23" t="inlineStr">
        <is>
          <t>Yes</t>
        </is>
      </c>
      <c r="F87" s="24" t="inlineStr">
        <is>
          <t>Covered</t>
        </is>
      </c>
      <c r="G87" s="24" t="inlineStr">
        <is>
          <t>A</t>
        </is>
      </c>
      <c r="H87" s="24" t="inlineStr"/>
      <c r="I87" s="24" t="inlineStr"/>
      <c r="J87" s="25" t="inlineStr">
        <is>
          <t>All providers</t>
        </is>
      </c>
      <c r="K87" s="25" t="inlineStr"/>
    </row>
    <row r="88">
      <c r="A88" s="21" t="inlineStr">
        <is>
          <t>LIFE-04</t>
        </is>
      </c>
      <c r="B88" s="21" t="inlineStr">
        <is>
          <t>Key lifecycle</t>
        </is>
      </c>
      <c r="C88" s="21" t="inlineStr">
        <is>
          <t>DeleteKey</t>
        </is>
      </c>
      <c r="D88" s="22" t="inlineStr">
        <is>
          <t>Destroys all token objects</t>
        </is>
      </c>
      <c r="E88" s="23" t="inlineStr">
        <is>
          <t>Yes</t>
        </is>
      </c>
      <c r="F88" s="21" t="inlineStr">
        <is>
          <t>Covered</t>
        </is>
      </c>
      <c r="G88" s="21" t="inlineStr">
        <is>
          <t>A</t>
        </is>
      </c>
      <c r="H88" s="21" t="inlineStr"/>
      <c r="I88" s="21" t="inlineStr"/>
      <c r="J88" s="22" t="inlineStr">
        <is>
          <t>All providers</t>
        </is>
      </c>
      <c r="K88" s="22" t="inlineStr"/>
    </row>
    <row r="89">
      <c r="A89" s="24" t="inlineStr">
        <is>
          <t>LIFE-05</t>
        </is>
      </c>
      <c r="B89" s="24" t="inlineStr">
        <is>
          <t>Key lifecycle</t>
        </is>
      </c>
      <c r="C89" s="24" t="inlineStr">
        <is>
          <t>EnumKeys</t>
        </is>
      </c>
      <c r="D89" s="25" t="inlineStr">
        <is>
          <t>Paged enumeration with state</t>
        </is>
      </c>
      <c r="E89" s="23" t="inlineStr">
        <is>
          <t>Yes</t>
        </is>
      </c>
      <c r="F89" s="24" t="inlineStr">
        <is>
          <t>Covered</t>
        </is>
      </c>
      <c r="G89" s="24" t="inlineStr">
        <is>
          <t>A</t>
        </is>
      </c>
      <c r="H89" s="24" t="inlineStr"/>
      <c r="I89" s="24" t="inlineStr"/>
      <c r="J89" s="25" t="inlineStr">
        <is>
          <t>All providers</t>
        </is>
      </c>
      <c r="K89" s="25" t="inlineStr"/>
    </row>
    <row r="90">
      <c r="A90" s="21" t="inlineStr">
        <is>
          <t>LIFE-06</t>
        </is>
      </c>
      <c r="B90" s="21" t="inlineStr">
        <is>
          <t>Key lifecycle</t>
        </is>
      </c>
      <c r="C90" s="21" t="inlineStr">
        <is>
          <t>EnumAlgorithms</t>
        </is>
      </c>
      <c r="D90" s="22" t="inlineStr">
        <is>
          <t>NCryptEnumAlgorithms support</t>
        </is>
      </c>
      <c r="E90" s="23" t="inlineStr">
        <is>
          <t>Yes</t>
        </is>
      </c>
      <c r="F90" s="21" t="inlineStr">
        <is>
          <t>Covered</t>
        </is>
      </c>
      <c r="G90" s="21" t="inlineStr">
        <is>
          <t>B</t>
        </is>
      </c>
      <c r="H90" s="21" t="inlineStr"/>
      <c r="I90" s="21" t="inlineStr"/>
      <c r="J90" s="22" t="inlineStr">
        <is>
          <t>All providers</t>
        </is>
      </c>
      <c r="K90" s="22" t="inlineStr"/>
    </row>
    <row r="91">
      <c r="A91" s="24" t="inlineStr">
        <is>
          <t>LIFE-07</t>
        </is>
      </c>
      <c r="B91" s="24" t="inlineStr">
        <is>
          <t>Key lifecycle</t>
        </is>
      </c>
      <c r="C91" s="24" t="inlineStr">
        <is>
          <t>IsAlgSupported</t>
        </is>
      </c>
      <c r="D91" s="25" t="inlineStr">
        <is>
          <t>NCryptIsAlgSupported</t>
        </is>
      </c>
      <c r="E91" s="23" t="inlineStr">
        <is>
          <t>Yes</t>
        </is>
      </c>
      <c r="F91" s="24" t="inlineStr">
        <is>
          <t>Covered</t>
        </is>
      </c>
      <c r="G91" s="24" t="inlineStr">
        <is>
          <t>B</t>
        </is>
      </c>
      <c r="H91" s="24" t="inlineStr"/>
      <c r="I91" s="24" t="inlineStr"/>
      <c r="J91" s="25" t="inlineStr">
        <is>
          <t>All providers</t>
        </is>
      </c>
      <c r="K91" s="25" t="inlineStr"/>
    </row>
    <row r="92">
      <c r="A92" s="21" t="inlineStr">
        <is>
          <t>LIFE-08</t>
        </is>
      </c>
      <c r="B92" s="21" t="inlineStr">
        <is>
          <t>Key lifecycle</t>
        </is>
      </c>
      <c r="C92" s="21" t="inlineStr">
        <is>
          <t>Machine vs user key scope</t>
        </is>
      </c>
      <c r="D92" s="22" t="inlineStr">
        <is>
          <t>NCRYPT_MACHINE_KEY_FLAG is honoured on CreatePersistedKey, OpenKey and EnumKeys. Within one token it is a CKA_LABEL prefix ("m/name" or "u/name"), which keeps distinct keys distinct and is NAMESPACING, NOT ISOLATION. Set KSP_MACHINE_TOKEN_LABEL and KSP_USER_TOKEN_LABEL (or the slot equivalents) and the flag instead selects WHICH TOKEN, each with its own PIN and its own session pool, so isolation is as strong as the token boundary PKCS#11 does have: a caller holding the user PIN cannot read machine keys because it cannot log in to read them. Setting only one of a pair, or two names resolving to one token, is refused rather than half-applied — isolation that reports success and does not isolate is worse than none. Unconfigured behaviour is unchanged. Verified against two real tokens with different PINs, including a case run WITHOUT the machine PIN in which the machine token must be unreachable.</t>
        </is>
      </c>
      <c r="E92" s="23" t="inlineStr">
        <is>
          <t>Yes</t>
        </is>
      </c>
      <c r="F92" s="21" t="inlineStr">
        <is>
          <t>Covered</t>
        </is>
      </c>
      <c r="G92" s="21" t="inlineStr">
        <is>
          <t>A</t>
        </is>
      </c>
      <c r="H92" s="21" t="inlineStr"/>
      <c r="I92" s="21" t="inlineStr"/>
      <c r="J92" s="22" t="inlineStr">
        <is>
          <t>All providers</t>
        </is>
      </c>
      <c r="K92" s="22" t="inlineStr"/>
    </row>
    <row r="93">
      <c r="A93" s="24" t="inlineStr">
        <is>
          <t>OPS-01</t>
        </is>
      </c>
      <c r="B93" s="24" t="inlineStr">
        <is>
          <t>Operational</t>
        </is>
      </c>
      <c r="C93" s="24" t="inlineStr">
        <is>
          <t>Hardware key protection</t>
        </is>
      </c>
      <c r="D93" s="25" t="inlineStr">
        <is>
          <t>Tamper-resistant storage</t>
        </is>
      </c>
      <c r="E93" s="27" t="inlineStr">
        <is>
          <t>No</t>
        </is>
      </c>
      <c r="F93" s="24" t="inlineStr">
        <is>
          <t>Not covered</t>
        </is>
      </c>
      <c r="G93" s="24" t="inlineStr">
        <is>
          <t>A</t>
        </is>
      </c>
      <c r="H93" s="24" t="inlineStr">
        <is>
          <t>Blocked: hardware / commercial</t>
        </is>
      </c>
      <c r="I93" s="24" t="inlineStr">
        <is>
          <t>N/A</t>
        </is>
      </c>
      <c r="J93" s="25" t="inlineStr">
        <is>
          <t>All commercial providers</t>
        </is>
      </c>
      <c r="K93" s="25" t="inlineStr">
        <is>
          <t>Fundamental: SoftHSM2 is a software token using encrypted SQLite. Only fixable by pointing the KSP at a real HSM which the PKCS#11 abstraction already allows.</t>
        </is>
      </c>
    </row>
    <row r="94">
      <c r="A94" s="21" t="inlineStr">
        <is>
          <t>OPS-02</t>
        </is>
      </c>
      <c r="B94" s="21" t="inlineStr">
        <is>
          <t>Operational</t>
        </is>
      </c>
      <c r="C94" s="21" t="inlineStr">
        <is>
          <t>FIPS 140-2/3 validation</t>
        </is>
      </c>
      <c r="D94" s="22" t="inlineStr">
        <is>
          <t>Certified cryptographic module</t>
        </is>
      </c>
      <c r="E94" s="27" t="inlineStr">
        <is>
          <t>No</t>
        </is>
      </c>
      <c r="F94" s="21" t="inlineStr">
        <is>
          <t>Not covered</t>
        </is>
      </c>
      <c r="G94" s="21" t="inlineStr">
        <is>
          <t>B</t>
        </is>
      </c>
      <c r="H94" s="21" t="inlineStr">
        <is>
          <t>Blocked: hardware / commercial</t>
        </is>
      </c>
      <c r="I94" s="21" t="inlineStr">
        <is>
          <t>N/A</t>
        </is>
      </c>
      <c r="J94" s="22" t="inlineStr">
        <is>
          <t>All commercial providers</t>
        </is>
      </c>
      <c r="K94" s="22" t="inlineStr">
        <is>
          <t>Follows from OPS-01. Requires certified hardware and a formal validation programme.</t>
        </is>
      </c>
    </row>
    <row r="95">
      <c r="A95" s="24" t="inlineStr">
        <is>
          <t>OPS-03</t>
        </is>
      </c>
      <c r="B95" s="24" t="inlineStr">
        <is>
          <t>Operational</t>
        </is>
      </c>
      <c r="C95" s="24" t="inlineStr">
        <is>
          <t>Authenticode-signed binary</t>
        </is>
      </c>
      <c r="D95" s="25" t="inlineStr">
        <is>
          <t>Commercial code-signing certificate</t>
        </is>
      </c>
      <c r="E95" s="27" t="inlineStr">
        <is>
          <t>No</t>
        </is>
      </c>
      <c r="F95" s="24" t="inlineStr">
        <is>
          <t>Not covered</t>
        </is>
      </c>
      <c r="G95" s="24" t="inlineStr">
        <is>
          <t>A</t>
        </is>
      </c>
      <c r="H95" s="24" t="inlineStr">
        <is>
          <t>Blocked: hardware / commercial</t>
        </is>
      </c>
      <c r="I95" s="24" t="inlineStr">
        <is>
          <t>N/A</t>
        </is>
      </c>
      <c r="J95" s="25" t="inlineStr">
        <is>
          <t>All commercial providers</t>
        </is>
      </c>
      <c r="K95" s="25" t="inlineStr">
        <is>
          <t>Signing is fully tooled: tools/sign_ksp.ps1 signs, timestamps and verifies, taking a certificate from the Windows store, a PFX (password from the environment, never a parameter) or Azure Trusted Signing, and the CI windows job signs automatically once the KSP_SIGN_PFX_BASE64 secret exists. What remains is not engineering: an OV or EV code-signing certificate must be bought by a verified legal entity. Nothing in this repository can supply that, so the row stays Not covered — the binary is unsigned.</t>
        </is>
      </c>
    </row>
    <row r="96">
      <c r="A96" s="21" t="inlineStr">
        <is>
          <t>OPS-04</t>
        </is>
      </c>
      <c r="B96" s="21" t="inlineStr">
        <is>
          <t>Operational</t>
        </is>
      </c>
      <c r="C96" s="21" t="inlineStr">
        <is>
          <t>Multiple slots / tokens</t>
        </is>
      </c>
      <c r="D96" s="22" t="inlineStr">
        <is>
          <t>Selecting among several tokens</t>
        </is>
      </c>
      <c r="E96" s="23" t="inlineStr">
        <is>
          <t>Yes</t>
        </is>
      </c>
      <c r="F96" s="21" t="inlineStr">
        <is>
          <t>Covered</t>
        </is>
      </c>
      <c r="G96" s="21" t="inlineStr">
        <is>
          <t>B</t>
        </is>
      </c>
      <c r="H96" s="21" t="inlineStr"/>
      <c r="I96" s="21" t="inlineStr"/>
      <c r="J96" s="22" t="inlineStr">
        <is>
          <t>All commercial providers</t>
        </is>
      </c>
      <c r="K96" s="22" t="inlineStr"/>
    </row>
    <row r="97">
      <c r="A97" s="24" t="inlineStr">
        <is>
          <t>OPS-05</t>
        </is>
      </c>
      <c r="B97" s="24" t="inlineStr">
        <is>
          <t>Operational</t>
        </is>
      </c>
      <c r="C97" s="24" t="inlineStr">
        <is>
          <t>Key attestation</t>
        </is>
      </c>
      <c r="D97" s="25" t="inlineStr">
        <is>
          <t>TPM / HSM-signed key origin proof</t>
        </is>
      </c>
      <c r="E97" s="27" t="inlineStr">
        <is>
          <t>No</t>
        </is>
      </c>
      <c r="F97" s="24" t="inlineStr">
        <is>
          <t>Not covered</t>
        </is>
      </c>
      <c r="G97" s="24" t="inlineStr">
        <is>
          <t>B</t>
        </is>
      </c>
      <c r="H97" s="24" t="inlineStr">
        <is>
          <t>Blocked: no PKCS#11 mechanism</t>
        </is>
      </c>
      <c r="I97" s="24" t="inlineStr">
        <is>
          <t>L</t>
        </is>
      </c>
      <c r="J97" s="25" t="inlineStr">
        <is>
          <t>MS Platform Crypto; some HSMs</t>
        </is>
      </c>
      <c r="K97" s="25" t="inlineStr">
        <is>
          <t>No PKCS#11 standard mechanism exists. Vendor-specific and unreachable through a portable PKCS#11 layer.</t>
        </is>
      </c>
    </row>
    <row r="98">
      <c r="A98" s="21" t="inlineStr">
        <is>
          <t>OPS-06</t>
        </is>
      </c>
      <c r="B98" s="21" t="inlineStr">
        <is>
          <t>Operational</t>
        </is>
      </c>
      <c r="C98" s="21" t="inlineStr">
        <is>
          <t>Load balancing / HA</t>
        </is>
      </c>
      <c r="D98" s="22" t="inlineStr">
        <is>
          <t>Multiple HSM members</t>
        </is>
      </c>
      <c r="E98" s="27" t="inlineStr">
        <is>
          <t>No</t>
        </is>
      </c>
      <c r="F98" s="21" t="inlineStr">
        <is>
          <t>Not covered</t>
        </is>
      </c>
      <c r="G98" s="21" t="inlineStr">
        <is>
          <t>C</t>
        </is>
      </c>
      <c r="H98" s="21" t="inlineStr">
        <is>
          <t>Blocked: hardware / commercial</t>
        </is>
      </c>
      <c r="I98" s="21" t="inlineStr">
        <is>
          <t>N/A</t>
        </is>
      </c>
      <c r="J98" s="22" t="inlineStr">
        <is>
          <t>Thales; Entrust</t>
        </is>
      </c>
      <c r="K98" s="22" t="inlineStr">
        <is>
          <t>Handled inside vendor PKCS#11 libraries. Our KSP would inherit it automatically when pointed at such a library; nothing to implement.</t>
        </is>
      </c>
    </row>
    <row r="99">
      <c r="A99" s="24" t="inlineStr">
        <is>
          <t>OPS-07</t>
        </is>
      </c>
      <c r="B99" s="24" t="inlineStr">
        <is>
          <t>Operational</t>
        </is>
      </c>
      <c r="C99" s="24" t="inlineStr">
        <is>
          <t>Session pool concurrency</t>
        </is>
      </c>
      <c r="D99" s="25" t="inlineStr">
        <is>
          <t>Concurrent NCrypt calls</t>
        </is>
      </c>
      <c r="E99" s="23" t="inlineStr">
        <is>
          <t>Yes</t>
        </is>
      </c>
      <c r="F99" s="24" t="inlineStr">
        <is>
          <t>Covered</t>
        </is>
      </c>
      <c r="G99" s="24" t="inlineStr">
        <is>
          <t>A</t>
        </is>
      </c>
      <c r="H99" s="24" t="inlineStr"/>
      <c r="I99" s="24" t="inlineStr"/>
      <c r="J99" s="25" t="inlineStr">
        <is>
          <t>All providers</t>
        </is>
      </c>
      <c r="K99" s="25" t="inlineStr"/>
    </row>
    <row r="100">
      <c r="A100" s="21" t="inlineStr">
        <is>
          <t>OPS-08</t>
        </is>
      </c>
      <c r="B100" s="21" t="inlineStr">
        <is>
          <t>Operational</t>
        </is>
      </c>
      <c r="C100" s="21" t="inlineStr">
        <is>
          <t>Re-initialisation without restart</t>
        </is>
      </c>
      <c r="D100" s="22" t="inlineStr">
        <is>
          <t>Recover from a bad DLL path</t>
        </is>
      </c>
      <c r="E100" s="23" t="inlineStr">
        <is>
          <t>Yes</t>
        </is>
      </c>
      <c r="F100" s="21" t="inlineStr">
        <is>
          <t>Covered</t>
        </is>
      </c>
      <c r="G100" s="21" t="inlineStr">
        <is>
          <t>A</t>
        </is>
      </c>
      <c r="H100" s="21" t="inlineStr"/>
      <c r="I100" s="21" t="inlineStr"/>
      <c r="J100" s="22" t="inlineStr">
        <is>
          <t>Vendor-specific</t>
        </is>
      </c>
      <c r="K100" s="22" t="inlineStr"/>
    </row>
    <row r="101">
      <c r="A101" s="24" t="inlineStr">
        <is>
          <t>OPS-09</t>
        </is>
      </c>
      <c r="B101" s="24" t="inlineStr">
        <is>
          <t>Operational</t>
        </is>
      </c>
      <c r="C101" s="24" t="inlineStr">
        <is>
          <t>PIN caching / re-login</t>
        </is>
      </c>
      <c r="D101" s="25" t="inlineStr">
        <is>
          <t>Session recovery after token logout</t>
        </is>
      </c>
      <c r="E101" s="23" t="inlineStr">
        <is>
          <t>Yes</t>
        </is>
      </c>
      <c r="F101" s="24" t="inlineStr">
        <is>
          <t>Covered</t>
        </is>
      </c>
      <c r="G101" s="24" t="inlineStr">
        <is>
          <t>C</t>
        </is>
      </c>
      <c r="H101" s="24" t="inlineStr"/>
      <c r="I101" s="24" t="inlineStr"/>
      <c r="J101" s="25" t="inlineStr">
        <is>
          <t>All commercial providers</t>
        </is>
      </c>
      <c r="K101" s="25" t="inlineStr"/>
    </row>
    <row r="102">
      <c r="A102" s="21" t="inlineStr">
        <is>
          <t>OPS-10</t>
        </is>
      </c>
      <c r="B102" s="21" t="inlineStr">
        <is>
          <t>Operational</t>
        </is>
      </c>
      <c r="C102" s="21" t="inlineStr">
        <is>
          <t>Logging / diagnostics</t>
        </is>
      </c>
      <c r="D102" s="22" t="inlineStr">
        <is>
          <t>Trace output for support</t>
        </is>
      </c>
      <c r="E102" s="23" t="inlineStr">
        <is>
          <t>Yes</t>
        </is>
      </c>
      <c r="F102" s="21" t="inlineStr">
        <is>
          <t>Covered</t>
        </is>
      </c>
      <c r="G102" s="21" t="inlineStr">
        <is>
          <t>A</t>
        </is>
      </c>
      <c r="H102" s="21" t="inlineStr"/>
      <c r="I102" s="21" t="inlineStr"/>
      <c r="J102" s="22" t="inlineStr">
        <is>
          <t>All providers</t>
        </is>
      </c>
      <c r="K102" s="22" t="inlineStr"/>
    </row>
    <row r="103">
      <c r="A103" s="24" t="inlineStr">
        <is>
          <t>OPS-13</t>
        </is>
      </c>
      <c r="B103" s="24" t="inlineStr">
        <is>
          <t>Operational</t>
        </is>
      </c>
      <c r="C103" s="24" t="inlineStr">
        <is>
          <t>Runtime capability discovery</t>
        </is>
      </c>
      <c r="D103" s="25" t="inlineStr">
        <is>
          <t>Advertised algorithms reflect what the token implements, not a compiled-in list</t>
        </is>
      </c>
      <c r="E103" s="23" t="inlineStr">
        <is>
          <t>Yes</t>
        </is>
      </c>
      <c r="F103" s="24" t="inlineStr">
        <is>
          <t>Covered</t>
        </is>
      </c>
      <c r="G103" s="24" t="inlineStr">
        <is>
          <t>A</t>
        </is>
      </c>
      <c r="H103" s="24" t="inlineStr"/>
      <c r="I103" s="24" t="inlineStr"/>
      <c r="J103" s="25" t="inlineStr">
        <is>
          <t>All commercial providers (implicit — each ships for its own device)</t>
        </is>
      </c>
      <c r="K103" s="25" t="inlineStr"/>
    </row>
    <row r="104">
      <c r="A104" s="21" t="inlineStr">
        <is>
          <t>OPS-14</t>
        </is>
      </c>
      <c r="B104" s="21" t="inlineStr">
        <is>
          <t>Operational</t>
        </is>
      </c>
      <c r="C104" s="21" t="inlineStr">
        <is>
          <t>Backend portability</t>
        </is>
      </c>
      <c r="D104" s="22" t="inlineStr">
        <is>
          <t>Any PKCS#11 v2.40+ module can back the provider (KSP_PKCS11_LIB)</t>
        </is>
      </c>
      <c r="E104" s="23" t="inlineStr">
        <is>
          <t>Yes</t>
        </is>
      </c>
      <c r="F104" s="21" t="inlineStr">
        <is>
          <t>Covered</t>
        </is>
      </c>
      <c r="G104" s="21" t="inlineStr">
        <is>
          <t>A</t>
        </is>
      </c>
      <c r="H104" s="21" t="inlineStr"/>
      <c r="I104" s="21" t="inlineStr"/>
      <c r="J104" s="22" t="inlineStr">
        <is>
          <t>Not offered — commercial providers are bound to their own hardware</t>
        </is>
      </c>
      <c r="K104" s="22" t="inlineStr"/>
    </row>
  </sheetData>
  <autoFilter ref="A1:K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4" customWidth="1" min="6" max="6"/>
  </cols>
  <sheetData>
    <row r="1">
      <c r="A1" s="28" t="inlineStr">
        <is>
          <t>Coverage by capability area</t>
        </is>
      </c>
    </row>
    <row r="3" ht="30" customHeight="1">
      <c r="A3" s="5" t="inlineStr">
        <is>
          <t>Category</t>
        </is>
      </c>
      <c r="B3" s="5" t="inlineStr">
        <is>
          <t>Yes</t>
        </is>
      </c>
      <c r="C3" s="5" t="inlineStr">
        <is>
          <t>Partial</t>
        </is>
      </c>
      <c r="D3" s="5" t="inlineStr">
        <is>
          <t>No</t>
        </is>
      </c>
      <c r="E3" s="5" t="inlineStr">
        <is>
          <t>Total</t>
        </is>
      </c>
      <c r="F3" s="5" t="inlineStr">
        <is>
          <t>% fully covered</t>
        </is>
      </c>
    </row>
    <row r="4">
      <c r="A4" s="10" t="inlineStr">
        <is>
          <t>Asymmetric DSA</t>
        </is>
      </c>
      <c r="B4" s="29">
        <f>COUNTIFS('CNG Feature Matrix'!B2:B104,$A4,'CNG Feature Matrix'!E2:E104,"Yes")</f>
        <v>0</v>
      </c>
      <c r="C4" s="29">
        <f>COUNTIFS('CNG Feature Matrix'!B2:B104,$A4,'CNG Feature Matrix'!E2:E104,"Partial")</f>
        <v>0</v>
      </c>
      <c r="D4" s="29">
        <f>COUNTIFS('CNG Feature Matrix'!B2:B104,$A4,'CNG Feature Matrix'!E2:E104,"No")</f>
        <v>1</v>
      </c>
      <c r="E4" s="15">
        <f>SUM(B4:D4)</f>
        <v>1.0</v>
      </c>
      <c r="F4" s="12">
        <f>IFERROR(B4/E4,0)</f>
        <v>0.0</v>
      </c>
    </row>
    <row r="5">
      <c r="A5" s="10" t="inlineStr">
        <is>
          <t>Asymmetric ECDSA</t>
        </is>
      </c>
      <c r="B5" s="29">
        <f>COUNTIFS('CNG Feature Matrix'!B2:B104,$A5,'CNG Feature Matrix'!E2:E104,"Yes")</f>
        <v>6</v>
      </c>
      <c r="C5" s="29">
        <f>COUNTIFS('CNG Feature Matrix'!B2:B104,$A5,'CNG Feature Matrix'!E2:E104,"Partial")</f>
        <v>0</v>
      </c>
      <c r="D5" s="29">
        <f>COUNTIFS('CNG Feature Matrix'!B2:B104,$A5,'CNG Feature Matrix'!E2:E104,"No")</f>
        <v>0</v>
      </c>
      <c r="E5" s="15">
        <f>SUM(B5:D5)</f>
        <v>6.0</v>
      </c>
      <c r="F5" s="12">
        <f>IFERROR(B5/E5,0)</f>
        <v>1.0</v>
      </c>
    </row>
    <row r="6">
      <c r="A6" s="10" t="inlineStr">
        <is>
          <t>Asymmetric EdDSA</t>
        </is>
      </c>
      <c r="B6" s="29">
        <f>COUNTIFS('CNG Feature Matrix'!B2:B104,$A6,'CNG Feature Matrix'!E2:E104,"Yes")</f>
        <v>1</v>
      </c>
      <c r="C6" s="29">
        <f>COUNTIFS('CNG Feature Matrix'!B2:B104,$A6,'CNG Feature Matrix'!E2:E104,"Partial")</f>
        <v>2</v>
      </c>
      <c r="D6" s="29">
        <f>COUNTIFS('CNG Feature Matrix'!B2:B104,$A6,'CNG Feature Matrix'!E2:E104,"No")</f>
        <v>0</v>
      </c>
      <c r="E6" s="15">
        <f>SUM(B6:D6)</f>
        <v>3.0</v>
      </c>
      <c r="F6" s="12">
        <f>IFERROR(B6/E6,0)</f>
        <v>0.3333333333333333</v>
      </c>
    </row>
    <row r="7">
      <c r="A7" s="10" t="inlineStr">
        <is>
          <t>Asymmetric RSA</t>
        </is>
      </c>
      <c r="B7" s="29">
        <f>COUNTIFS('CNG Feature Matrix'!B2:B104,$A7,'CNG Feature Matrix'!E2:E104,"Yes")</f>
        <v>11</v>
      </c>
      <c r="C7" s="29">
        <f>COUNTIFS('CNG Feature Matrix'!B2:B104,$A7,'CNG Feature Matrix'!E2:E104,"Partial")</f>
        <v>1</v>
      </c>
      <c r="D7" s="29">
        <f>COUNTIFS('CNG Feature Matrix'!B2:B104,$A7,'CNG Feature Matrix'!E2:E104,"No")</f>
        <v>0</v>
      </c>
      <c r="E7" s="15">
        <f>SUM(B7:D7)</f>
        <v>12.0</v>
      </c>
      <c r="F7" s="12">
        <f>IFERROR(B7/E7,0)</f>
        <v>0.9166666666666666</v>
      </c>
    </row>
    <row r="8">
      <c r="A8" s="10" t="inlineStr">
        <is>
          <t>Key agreement</t>
        </is>
      </c>
      <c r="B8" s="29">
        <f>COUNTIFS('CNG Feature Matrix'!B2:B104,$A8,'CNG Feature Matrix'!E2:E104,"Yes")</f>
        <v>5</v>
      </c>
      <c r="C8" s="29">
        <f>COUNTIFS('CNG Feature Matrix'!B2:B104,$A8,'CNG Feature Matrix'!E2:E104,"Partial")</f>
        <v>0</v>
      </c>
      <c r="D8" s="29">
        <f>COUNTIFS('CNG Feature Matrix'!B2:B104,$A8,'CNG Feature Matrix'!E2:E104,"No")</f>
        <v>1</v>
      </c>
      <c r="E8" s="15">
        <f>SUM(B8:D8)</f>
        <v>6.0</v>
      </c>
      <c r="F8" s="12">
        <f>IFERROR(B8/E8,0)</f>
        <v>0.8333333333333334</v>
      </c>
    </row>
    <row r="9">
      <c r="A9" s="10" t="inlineStr">
        <is>
          <t>Key formats</t>
        </is>
      </c>
      <c r="B9" s="29">
        <f>COUNTIFS('CNG Feature Matrix'!B2:B104,$A9,'CNG Feature Matrix'!E2:E104,"Yes")</f>
        <v>6</v>
      </c>
      <c r="C9" s="29">
        <f>COUNTIFS('CNG Feature Matrix'!B2:B104,$A9,'CNG Feature Matrix'!E2:E104,"Partial")</f>
        <v>0</v>
      </c>
      <c r="D9" s="29">
        <f>COUNTIFS('CNG Feature Matrix'!B2:B104,$A9,'CNG Feature Matrix'!E2:E104,"No")</f>
        <v>4</v>
      </c>
      <c r="E9" s="15">
        <f>SUM(B9:D9)</f>
        <v>10.0</v>
      </c>
      <c r="F9" s="12">
        <f>IFERROR(B9/E9,0)</f>
        <v>0.6</v>
      </c>
    </row>
    <row r="10">
      <c r="A10" s="10" t="inlineStr">
        <is>
          <t>Key lifecycle</t>
        </is>
      </c>
      <c r="B10" s="29">
        <f>COUNTIFS('CNG Feature Matrix'!B2:B104,$A10,'CNG Feature Matrix'!E2:E104,"Yes")</f>
        <v>8</v>
      </c>
      <c r="C10" s="29">
        <f>COUNTIFS('CNG Feature Matrix'!B2:B104,$A10,'CNG Feature Matrix'!E2:E104,"Partial")</f>
        <v>0</v>
      </c>
      <c r="D10" s="29">
        <f>COUNTIFS('CNG Feature Matrix'!B2:B104,$A10,'CNG Feature Matrix'!E2:E104,"No")</f>
        <v>0</v>
      </c>
      <c r="E10" s="15">
        <f>SUM(B10:D10)</f>
        <v>8.0</v>
      </c>
      <c r="F10" s="12">
        <f>IFERROR(B10/E10,0)</f>
        <v>1.0</v>
      </c>
    </row>
    <row r="11">
      <c r="A11" s="10" t="inlineStr">
        <is>
          <t>Key properties</t>
        </is>
      </c>
      <c r="B11" s="29">
        <f>COUNTIFS('CNG Feature Matrix'!B2:B104,$A11,'CNG Feature Matrix'!E2:E104,"Yes")</f>
        <v>13</v>
      </c>
      <c r="C11" s="29">
        <f>COUNTIFS('CNG Feature Matrix'!B2:B104,$A11,'CNG Feature Matrix'!E2:E104,"Partial")</f>
        <v>0</v>
      </c>
      <c r="D11" s="29">
        <f>COUNTIFS('CNG Feature Matrix'!B2:B104,$A11,'CNG Feature Matrix'!E2:E104,"No")</f>
        <v>4</v>
      </c>
      <c r="E11" s="15">
        <f>SUM(B11:D11)</f>
        <v>17.0</v>
      </c>
      <c r="F11" s="12">
        <f>IFERROR(B11/E11,0)</f>
        <v>0.7647058823529411</v>
      </c>
    </row>
    <row r="12">
      <c r="A12" s="10" t="inlineStr">
        <is>
          <t>Operational</t>
        </is>
      </c>
      <c r="B12" s="29">
        <f>COUNTIFS('CNG Feature Matrix'!B2:B104,$A12,'CNG Feature Matrix'!E2:E104,"Yes")</f>
        <v>7</v>
      </c>
      <c r="C12" s="29">
        <f>COUNTIFS('CNG Feature Matrix'!B2:B104,$A12,'CNG Feature Matrix'!E2:E104,"Partial")</f>
        <v>0</v>
      </c>
      <c r="D12" s="29">
        <f>COUNTIFS('CNG Feature Matrix'!B2:B104,$A12,'CNG Feature Matrix'!E2:E104,"No")</f>
        <v>5</v>
      </c>
      <c r="E12" s="15">
        <f>SUM(B12:D12)</f>
        <v>12.0</v>
      </c>
      <c r="F12" s="12">
        <f>IFERROR(B12/E12,0)</f>
        <v>0.5833333333333334</v>
      </c>
    </row>
    <row r="13">
      <c r="A13" s="10" t="inlineStr">
        <is>
          <t>Post-quantum</t>
        </is>
      </c>
      <c r="B13" s="29">
        <f>COUNTIFS('CNG Feature Matrix'!B2:B104,$A13,'CNG Feature Matrix'!E2:E104,"Yes")</f>
        <v>0</v>
      </c>
      <c r="C13" s="29">
        <f>COUNTIFS('CNG Feature Matrix'!B2:B104,$A13,'CNG Feature Matrix'!E2:E104,"Partial")</f>
        <v>1</v>
      </c>
      <c r="D13" s="29">
        <f>COUNTIFS('CNG Feature Matrix'!B2:B104,$A13,'CNG Feature Matrix'!E2:E104,"No")</f>
        <v>2</v>
      </c>
      <c r="E13" s="15">
        <f>SUM(B13:D13)</f>
        <v>3.0</v>
      </c>
      <c r="F13" s="12">
        <f>IFERROR(B13/E13,0)</f>
        <v>0.0</v>
      </c>
    </row>
    <row r="14">
      <c r="A14" s="10" t="inlineStr">
        <is>
          <t>Provider interface</t>
        </is>
      </c>
      <c r="B14" s="29">
        <f>COUNTIFS('CNG Feature Matrix'!B2:B104,$A14,'CNG Feature Matrix'!E2:E104,"Yes")</f>
        <v>7</v>
      </c>
      <c r="C14" s="29">
        <f>COUNTIFS('CNG Feature Matrix'!B2:B104,$A14,'CNG Feature Matrix'!E2:E104,"Partial")</f>
        <v>3</v>
      </c>
      <c r="D14" s="29">
        <f>COUNTIFS('CNG Feature Matrix'!B2:B104,$A14,'CNG Feature Matrix'!E2:E104,"No")</f>
        <v>2</v>
      </c>
      <c r="E14" s="15">
        <f>SUM(B14:D14)</f>
        <v>12.0</v>
      </c>
      <c r="F14" s="12">
        <f>IFERROR(B14/E14,0)</f>
        <v>0.5833333333333334</v>
      </c>
    </row>
    <row r="15">
      <c r="A15" s="10" t="inlineStr">
        <is>
          <t>Symmetric AES</t>
        </is>
      </c>
      <c r="B15" s="29">
        <f>COUNTIFS('CNG Feature Matrix'!B2:B104,$A15,'CNG Feature Matrix'!E2:E104,"Yes")</f>
        <v>8</v>
      </c>
      <c r="C15" s="29">
        <f>COUNTIFS('CNG Feature Matrix'!B2:B104,$A15,'CNG Feature Matrix'!E2:E104,"Partial")</f>
        <v>2</v>
      </c>
      <c r="D15" s="29">
        <f>COUNTIFS('CNG Feature Matrix'!B2:B104,$A15,'CNG Feature Matrix'!E2:E104,"No")</f>
        <v>0</v>
      </c>
      <c r="E15" s="15">
        <f>SUM(B15:D15)</f>
        <v>10.0</v>
      </c>
      <c r="F15" s="12">
        <f>IFERROR(B15/E15,0)</f>
        <v>0.8</v>
      </c>
    </row>
    <row r="16">
      <c r="A16" s="10" t="inlineStr">
        <is>
          <t>Symmetric MAC</t>
        </is>
      </c>
      <c r="B16" s="29">
        <f>COUNTIFS('CNG Feature Matrix'!B2:B104,$A16,'CNG Feature Matrix'!E2:E104,"Yes")</f>
        <v>1</v>
      </c>
      <c r="C16" s="29">
        <f>COUNTIFS('CNG Feature Matrix'!B2:B104,$A16,'CNG Feature Matrix'!E2:E104,"Partial")</f>
        <v>1</v>
      </c>
      <c r="D16" s="29">
        <f>COUNTIFS('CNG Feature Matrix'!B2:B104,$A16,'CNG Feature Matrix'!E2:E104,"No")</f>
        <v>0</v>
      </c>
      <c r="E16" s="15">
        <f>SUM(B16:D16)</f>
        <v>2.0</v>
      </c>
      <c r="F16" s="12">
        <f>IFERROR(B16/E16,0)</f>
        <v>0.5</v>
      </c>
    </row>
    <row r="17">
      <c r="A17" s="10" t="inlineStr">
        <is>
          <t>Symmetric legacy</t>
        </is>
      </c>
      <c r="B17" s="29">
        <f>COUNTIFS('CNG Feature Matrix'!B2:B104,$A17,'CNG Feature Matrix'!E2:E104,"Yes")</f>
        <v>0</v>
      </c>
      <c r="C17" s="29">
        <f>COUNTIFS('CNG Feature Matrix'!B2:B104,$A17,'CNG Feature Matrix'!E2:E104,"Partial")</f>
        <v>0</v>
      </c>
      <c r="D17" s="29">
        <f>COUNTIFS('CNG Feature Matrix'!B2:B104,$A17,'CNG Feature Matrix'!E2:E104,"No")</f>
        <v>1</v>
      </c>
      <c r="E17" s="15">
        <f>SUM(B17:D17)</f>
        <v>1.0</v>
      </c>
      <c r="F17" s="12">
        <f>IFERROR(B17/E17,0)</f>
        <v>0.0</v>
      </c>
    </row>
    <row r="18">
      <c r="A18" s="16" t="inlineStr">
        <is>
          <t>All categories</t>
        </is>
      </c>
      <c r="B18" s="7">
        <f>SUM(B4:B17)</f>
        <v>73.0</v>
      </c>
      <c r="C18" s="7">
        <f>SUM(C4:C17)</f>
        <v>10.0</v>
      </c>
      <c r="D18" s="7">
        <f>SUM(D4:D17)</f>
        <v>20.0</v>
      </c>
      <c r="E18" s="7">
        <f>SUM(E4:E17)</f>
        <v>103.0</v>
      </c>
      <c r="F18" s="17">
        <f>IFERROR(B18/E18,0)</f>
        <v>0.7087378640776699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32" customWidth="1" min="3" max="3"/>
    <col width="10" customWidth="1" min="4" max="4"/>
    <col width="33" customWidth="1" min="5" max="5"/>
    <col width="12" customWidth="1" min="6" max="6"/>
    <col width="7" customWidth="1" min="7" max="7"/>
    <col width="62" customWidth="1" min="8" max="8"/>
    <col width="62" customWidth="1" min="9" max="9"/>
    <col width="78" customWidth="1" min="10" max="10"/>
  </cols>
  <sheetData>
    <row r="1" ht="30" customHeight="1">
      <c r="A1" s="5" t="inlineStr">
        <is>
          <t>ID</t>
        </is>
      </c>
      <c r="B1" s="5" t="inlineStr">
        <is>
          <t>Category</t>
        </is>
      </c>
      <c r="C1" s="5" t="inlineStr">
        <is>
          <t>CNG feature</t>
        </is>
      </c>
      <c r="D1" s="5" t="inlineStr">
        <is>
          <t>Supported</t>
        </is>
      </c>
      <c r="E1" s="5" t="inlineStr">
        <is>
          <t>Why still open</t>
        </is>
      </c>
      <c r="F1" s="5" t="inlineStr">
        <is>
          <t>Outside this repo?</t>
        </is>
      </c>
      <c r="G1" s="5" t="inlineStr">
        <is>
          <t>Effort</t>
        </is>
      </c>
      <c r="H1" s="5" t="inlineStr">
        <is>
          <t>What works today</t>
        </is>
      </c>
      <c r="I1" s="5" t="inlineStr">
        <is>
          <t>What the blocker rests on</t>
        </is>
      </c>
      <c r="J1" s="5" t="inlineStr">
        <is>
          <t>What would actually close it</t>
        </is>
      </c>
    </row>
    <row r="2">
      <c r="A2" s="21" t="inlineStr">
        <is>
          <t>BUILD-01</t>
        </is>
      </c>
      <c r="B2" s="21" t="inlineStr">
        <is>
          <t>Provider interface</t>
        </is>
      </c>
      <c r="C2" s="21" t="inlineStr">
        <is>
          <t>Builds for Windows at all</t>
        </is>
      </c>
      <c r="D2" s="26" t="inlineStr">
        <is>
          <t>Partial</t>
        </is>
      </c>
      <c r="E2" s="21" t="inlineStr">
        <is>
          <t>Blocked: needs ncrypt_provider.h / Windows</t>
        </is>
      </c>
      <c r="F2" s="30" t="inlineStr">
        <is>
          <t>Outside</t>
        </is>
      </c>
      <c r="G2" s="21" t="inlineStr">
        <is>
          <t>M</t>
        </is>
      </c>
      <c r="H2" s="22" t="inlineStr">
        <is>
          <t>MSVC compiles nine of the ten source files clean at /W3 /WX and links test_p11_layer.exe. The mingw cross-compile is clean on all ten minus ksp_main.c.</t>
        </is>
      </c>
      <c r="I2" s="22" t="inlineStr">
        <is>
          <t>ncrypt_provider.h, which declares NCRYPT_KEY_STORAGE_FUNCTION_TABLE. A dir /s /b across C: and D: on a windows-latest runner returned only this repository's own test mock, after a WDK install that reported success. It is not in the Windows SDK.</t>
        </is>
      </c>
      <c r="J2" s="22" t="inlineStr">
        <is>
          <t>Phase 0 fixed all six root causes. MSVC compiles nine of the ten source files clean at /W3 /WX and links test_p11_layer. ksp_main.c cannot be built in hosted CI: ncrypt_provider.h does not exist on a windows-latest runner, established by a dir /s /b across C: and D: that returned only this repo's own test mock, after a WDK install that reported success. Needs a machine that has the header.</t>
        </is>
      </c>
    </row>
    <row r="3">
      <c r="A3" s="24" t="inlineStr">
        <is>
          <t>PQC-01</t>
        </is>
      </c>
      <c r="B3" s="24" t="inlineStr">
        <is>
          <t>Post-quantum</t>
        </is>
      </c>
      <c r="C3" s="24" t="inlineStr">
        <is>
          <t>ML-DSA (Dilithium)</t>
        </is>
      </c>
      <c r="D3" s="26" t="inlineStr">
        <is>
          <t>Partial</t>
        </is>
      </c>
      <c r="E3" s="24" t="inlineStr">
        <is>
          <t>Blocked: needs ncrypt_provider.h / Windows</t>
        </is>
      </c>
      <c r="F3" s="30" t="inlineStr">
        <is>
          <t>Outside</t>
        </is>
      </c>
      <c r="G3" s="24" t="inlineStr">
        <is>
          <t>M</t>
        </is>
      </c>
      <c r="H3" s="25" t="inlineStr">
        <is>
          <t>ML-DSA generates, reopens by parameter set and signs at all three sets, verified against Kryoptic built with its pqc feature over OpenSSL 3.5.8. Gated on the capability probe, so it is dark on SoftHSM2 and live on a v3.2 token.</t>
        </is>
      </c>
      <c r="I3" s="25" t="inlineStr">
        <is>
          <t>The CNG post-quantum key blob layout, which is in a Windows SDK header not available here. Public key export is the only thing missing. A guessed layout would pass every test here and fail only on Windows — the BCRYPT_SHA224_ALGORITHM mistake exactly.</t>
        </is>
      </c>
      <c r="J3" s="25" t="inlineStr">
        <is>
          <t>ML-DSA is wired through the KSP and gated on the capability probe: mechanism resolution, CKA_PARAMETER_SET key generation for all three parameter sets, key reopen, and signing. Verified end to end in session 10 against Kryoptic built with its pqc feature over OpenSSL 3.5.8 — generation, reopen by parameter set, and signature at the exact size for ML-DSA-44/65/87. Unreachable on SoftHSM2 2.7.0, which defines the mechanisms and implements none of them. Still Partial for one reason only: public key export is refused, because the CNG post-quantum key blob layout is in a Windows SDK header not available here. That is the same blocker as BUILD-01 and no backend fixes it.</t>
        </is>
      </c>
    </row>
    <row r="4">
      <c r="A4" s="21" t="inlineStr">
        <is>
          <t>TABLE-01</t>
        </is>
      </c>
      <c r="B4" s="21" t="inlineStr">
        <is>
          <t>Provider interface</t>
        </is>
      </c>
      <c r="C4" s="21" t="inlineStr">
        <is>
          <t>Function table layout matches the SDK</t>
        </is>
      </c>
      <c r="D4" s="26" t="inlineStr">
        <is>
          <t>Partial</t>
        </is>
      </c>
      <c r="E4" s="21" t="inlineStr">
        <is>
          <t>Blocked: needs ncrypt_provider.h / Windows</t>
        </is>
      </c>
      <c r="F4" s="30" t="inlineStr">
        <is>
          <t>Outside</t>
        </is>
      </c>
      <c r="G4" s="21" t="inlineStr">
        <is>
          <t>S</t>
        </is>
      </c>
      <c r="H4" s="22" t="inlineStr">
        <is>
          <t>Designated initialisers make a wrong slot NAME a build error. Eight provider-scoped slots are also signature-checked against &lt;ncrypt.h&gt;, which is what caught KSP_NotifyChangeKey holding an NCRYPT_KEY_HANDLE where the parameter is HANDLE *phEvent.</t>
        </is>
      </c>
      <c r="I4" s="22" t="inlineStr">
        <is>
          <t>The same missing header. Key-scoped slots cannot be checked against the public prototype, because it is not the slot's shape: NCryptSignHash takes (hKey, ...) while the slot takes (hProvider, hKey, ...). Asserting the public shape there would be inventing a fact.</t>
        </is>
      </c>
      <c r="J4" s="22" t="inlineStr">
        <is>
          <t>The table uses designated initialisers, so the SDK header assigns slots by name and a wrong NAME is a build error. Since session 14 eight provider-scoped slots are also signature-checked: their KSP prototype equals the documented public NCrypt one, so test_function_table.c assigns each to a pointer type copied from &lt;ncrypt.h&gt; and the build promotes incompatible-pointer-types to an error. That caught KSP_NotifyChangeKey taking an NCRYPT_KEY_HANDLE where the parameter is HANDLE *phEvent. Key-scoped slots cannot be checked this way - NCryptSignHash takes (hKey, ...) while the slot takes (hProvider, hKey, ...) - so full confirmation still needs ncrypt_provider.h.</t>
        </is>
      </c>
    </row>
    <row r="5">
      <c r="A5" s="24" t="inlineStr">
        <is>
          <t>AES-06</t>
        </is>
      </c>
      <c r="B5" s="24" t="inlineStr">
        <is>
          <t>Symmetric AES</t>
        </is>
      </c>
      <c r="C5" s="24" t="inlineStr">
        <is>
          <t>AES-CTR</t>
        </is>
      </c>
      <c r="D5" s="26" t="inlineStr">
        <is>
          <t>Partial</t>
        </is>
      </c>
      <c r="E5" s="24" t="inlineStr">
        <is>
          <t>Blocked: CNG has no identifier or slot</t>
        </is>
      </c>
      <c r="F5" s="30" t="inlineStr">
        <is>
          <t>Outside</t>
        </is>
      </c>
      <c r="G5" s="24" t="inlineStr">
        <is>
          <t>N/A</t>
        </is>
      </c>
      <c r="H5" s="25" t="inlineStr">
        <is>
          <t>AES-CTR encrypts and decrypts, verified against a live token, selected through NCRYPT_CHAINING_MODE_PROPERTY.</t>
        </is>
      </c>
      <c r="I5" s="25" t="inlineStr">
        <is>
          <t>CNG defines no counter-mode chaining string, so ChainingModeCTR is a provider extension that no stock application will select.</t>
        </is>
      </c>
      <c r="J5" s="25" t="inlineStr">
        <is>
          <t>Works but ChainingModeCTR is a KSP extension. CNG defines no standard counter-mode string so no stock application will select it.</t>
        </is>
      </c>
    </row>
    <row r="6">
      <c r="A6" s="21" t="inlineStr">
        <is>
          <t>EDDSA-01</t>
        </is>
      </c>
      <c r="B6" s="21" t="inlineStr">
        <is>
          <t>Asymmetric EdDSA</t>
        </is>
      </c>
      <c r="C6" s="21" t="inlineStr">
        <is>
          <t>Ed25519 signing</t>
        </is>
      </c>
      <c r="D6" s="26" t="inlineStr">
        <is>
          <t>Partial</t>
        </is>
      </c>
      <c r="E6" s="21" t="inlineStr">
        <is>
          <t>Blocked: CNG has no identifier or slot</t>
        </is>
      </c>
      <c r="F6" s="30" t="inlineStr">
        <is>
          <t>Outside</t>
        </is>
      </c>
      <c r="G6" s="21" t="inlineStr">
        <is>
          <t>N/A</t>
        </is>
      </c>
      <c r="H6" s="22" t="inlineStr">
        <is>
          <t>Ed25519 signs, and is verified end to end against Kryoptic. The absent CK_EDDSA_PARAMS that selects the pure context-free form is deliberate and fault-injected.</t>
        </is>
      </c>
      <c r="I6" s="22" t="inlineStr">
        <is>
          <t>CNG defines no EdDSA algorithm identifier at all, so EDDSA_ED25519 is this provider's own string and no stock application will ask for it. Nothing in the KSP can change that.</t>
        </is>
      </c>
      <c r="J6" s="22" t="inlineStr">
        <is>
          <t>Works against SoftHSM2 AND verified end to end against Kryoptic (session 10), but uses the non-standard identifier EDDSA_ED25519. CNG defines no EdDSA algorithm ID so no stock application can request it. Nothing to fix in the KSP; blocked on Microsoft.</t>
        </is>
      </c>
    </row>
    <row r="7">
      <c r="A7" s="24" t="inlineStr">
        <is>
          <t>EDDSA-02</t>
        </is>
      </c>
      <c r="B7" s="24" t="inlineStr">
        <is>
          <t>Asymmetric EdDSA</t>
        </is>
      </c>
      <c r="C7" s="24" t="inlineStr">
        <is>
          <t>Ed448 signing</t>
        </is>
      </c>
      <c r="D7" s="26" t="inlineStr">
        <is>
          <t>Partial</t>
        </is>
      </c>
      <c r="E7" s="24" t="inlineStr">
        <is>
          <t>Blocked: CNG has no identifier or slot</t>
        </is>
      </c>
      <c r="F7" s="30" t="inlineStr">
        <is>
          <t>Outside</t>
        </is>
      </c>
      <c r="G7" s="24" t="inlineStr">
        <is>
          <t>N/A</t>
        </is>
      </c>
      <c r="H7" s="25" t="inlineStr">
        <is>
          <t>Ed448 signs against Kryoptic with CK_EDDSA_PARAMS supplied, which Ed448 requires and Ed25519 must not have. The asymmetry is deliberate and both mistakes are fault-injected. It did NOT work before session 10: SoftHSM2 tolerates the missing parameter, so a second token was needed to see it.</t>
        </is>
      </c>
      <c r="I7" s="25" t="inlineStr">
        <is>
          <t>Same as EDDSA-01 — no CNG identifier exists.</t>
        </is>
      </c>
      <c r="J7" s="25" t="inlineStr">
        <is>
          <t>Same constraint as EDDSA-01. Note that Ed448 signing did not in fact work until session 10: CKM_EDDSA requires CK_EDDSA_PARAMS for Ed448 and the provider sent none. SoftHSM2 tolerates its absence, so this was invisible until a second token refused it.</t>
        </is>
      </c>
    </row>
    <row r="8">
      <c r="A8" s="21" t="inlineStr">
        <is>
          <t>HMAC-01</t>
        </is>
      </c>
      <c r="B8" s="21" t="inlineStr">
        <is>
          <t>Symmetric MAC</t>
        </is>
      </c>
      <c r="C8" s="21" t="inlineStr">
        <is>
          <t>HMAC-SHA1 / 256 / 384 / 512</t>
        </is>
      </c>
      <c r="D8" s="26" t="inlineStr">
        <is>
          <t>Partial</t>
        </is>
      </c>
      <c r="E8" s="21" t="inlineStr">
        <is>
          <t>Blocked: CNG has no identifier or slot</t>
        </is>
      </c>
      <c r="F8" s="30" t="inlineStr">
        <is>
          <t>Outside</t>
        </is>
      </c>
      <c r="G8" s="21" t="inlineStr">
        <is>
          <t>N/A</t>
        </is>
      </c>
      <c r="H8" s="22" t="inlineStr">
        <is>
          <t>HMAC signing works over CKM_SHA*_HMAC for SHA-1 through SHA-512, verified against a live token. It had never actually worked before session 10 — KSP_SignHash passed hPrivKey unconditionally and secret keys live in hSecretKey.</t>
        </is>
      </c>
      <c r="I8" s="22" t="inlineStr">
        <is>
          <t>CNG reaches HMAC through BCrypt algorithm handles, not through KSP key algorithms, so HMAC_SHA* are this provider's own identifiers.</t>
        </is>
      </c>
      <c r="J8" s="22" t="inlineStr">
        <is>
          <t>Works against SoftHSM2 but HMAC_SHA* are our own identifiers. CNG does HMAC through BCrypt algorithm handles not KSP key algorithms.</t>
        </is>
      </c>
    </row>
    <row r="9">
      <c r="A9" s="24" t="inlineStr">
        <is>
          <t>PQC-02</t>
        </is>
      </c>
      <c r="B9" s="24" t="inlineStr">
        <is>
          <t>Post-quantum</t>
        </is>
      </c>
      <c r="C9" s="24" t="inlineStr">
        <is>
          <t>ML-KEM (Kyber)</t>
        </is>
      </c>
      <c r="D9" s="27" t="inlineStr">
        <is>
          <t>No</t>
        </is>
      </c>
      <c r="E9" s="24" t="inlineStr">
        <is>
          <t>Blocked: CNG has no identifier or slot</t>
        </is>
      </c>
      <c r="F9" s="30" t="inlineStr">
        <is>
          <t>Outside</t>
        </is>
      </c>
      <c r="G9" s="24" t="inlineStr">
        <is>
          <t>L</t>
        </is>
      </c>
      <c r="H9" s="25" t="inlineStr">
        <is>
          <t>The probe recognises CKM_ML_KEM, so the backend is not the obstacle. Nothing is advertised, deliberately.</t>
        </is>
      </c>
      <c r="I9" s="25" t="inlineStr">
        <is>
          <t>The function table has no slot for encapsulation or decapsulation, so a KSP could hold an ML-KEM key with no entry point to use it. Whether a newer ncrypt_provider.h adds such slots cannot be established here — the same missing header.</t>
        </is>
      </c>
      <c r="J9" s="25" t="inlineStr">
        <is>
          <t>NOT the same blocker as PQC-01. The probe recognises CKM_ML_KEM, so the backend is not what stops this: encapsulation and decapsulation have no slot in the NCRYPT_KEY_STORAGE_FUNCTION_TABLE this provider implements, so a KSP can hold an ML-KEM key with no entry point to use it. Whether a newer ncrypt_provider.h adds such slots cannot be determined here — same missing header as BUILD-01.</t>
        </is>
      </c>
    </row>
    <row r="10">
      <c r="A10" s="21" t="inlineStr">
        <is>
          <t>FMT-10</t>
        </is>
      </c>
      <c r="B10" s="21" t="inlineStr">
        <is>
          <t>Key formats</t>
        </is>
      </c>
      <c r="C10" s="21" t="inlineStr">
        <is>
          <t>OPAQUETRANSPORT blob</t>
        </is>
      </c>
      <c r="D10" s="27" t="inlineStr">
        <is>
          <t>No</t>
        </is>
      </c>
      <c r="E10" s="21" t="inlineStr">
        <is>
          <t>Blocked: no PKCS#11 mechanism</t>
        </is>
      </c>
      <c r="F10" s="30" t="inlineStr">
        <is>
          <t>Outside</t>
        </is>
      </c>
      <c r="G10" s="21" t="inlineStr">
        <is>
          <t>L</t>
        </is>
      </c>
      <c r="H10" s="22" t="inlineStr">
        <is>
          <t>Nothing. Not advertised.</t>
        </is>
      </c>
      <c r="I10" s="22" t="inlineStr">
        <is>
          <t>OPAQUETRANSPORT has no defined wrapping format to follow, so there is no standard to implement against — only a format this provider would invent and no one else could read.</t>
        </is>
      </c>
      <c r="J10" s="22" t="inlineStr">
        <is>
          <t>Would let keys move between instances of the same provider. Needs a defined wrapping format; no standard to follow.</t>
        </is>
      </c>
    </row>
    <row r="11">
      <c r="A11" s="24" t="inlineStr">
        <is>
          <t>IFACE-05</t>
        </is>
      </c>
      <c r="B11" s="24" t="inlineStr">
        <is>
          <t>Provider interface</t>
        </is>
      </c>
      <c r="C11" s="24" t="inlineStr">
        <is>
          <t>NotifyChangeKey</t>
        </is>
      </c>
      <c r="D11" s="26" t="inlineStr">
        <is>
          <t>Partial</t>
        </is>
      </c>
      <c r="E11" s="24" t="inlineStr">
        <is>
          <t>Blocked: no PKCS#11 mechanism</t>
        </is>
      </c>
      <c r="F11" s="30" t="inlineStr">
        <is>
          <t>Outside</t>
        </is>
      </c>
      <c r="G11" s="24" t="inlineStr">
        <is>
          <t>L</t>
        </is>
      </c>
      <c r="H11" s="25" t="inlineStr">
        <is>
          <t>Validates the provider and flags, clears *phEvent and refuses registration with NTE_NOT_SUPPORTED. Unregistering succeeds, because there is nothing to tear down. Before session 14 it returned ERROR_SUCCESS without writing the handle, so a caller waited on an uninitialised HANDLE.</t>
        </is>
      </c>
      <c r="I11" s="25" t="inlineStr">
        <is>
          <t>PKCS#11 has no object-change channel: there is no C_WaitForSlotEvent equivalent for objects. Polling C_FindObjects on a timer would be a fabrication dressed as a notification. THIS IS THE ROW CLOSEST IN SHAPE TO the three that were wrongly called deliberate — it would become actionable the moment a backend offered such a channel, so it is worth re-reading rather than inheriting.</t>
        </is>
      </c>
      <c r="J11" s="25" t="inlineStr">
        <is>
          <t>Was a no-op returning ERROR_SUCCESS with the caller's HANDLE never written, so an application registering for notification was told it had succeeded and then waited on an uninitialised handle. It now validates the provider and the flags, clears *phEvent and refuses registration with NTE_NOT_SUPPORTED; unregistering succeeds because there is nothing to tear down. Real support needs a key-change channel a PKCS#11 token does not have - there is no C_WaitForSlotEvent equivalent for objects, and polling C_FindObjects on a timer would be a fabrication rather than a notification.</t>
        </is>
      </c>
    </row>
    <row r="12">
      <c r="A12" s="21" t="inlineStr">
        <is>
          <t>IFACE-06</t>
        </is>
      </c>
      <c r="B12" s="21" t="inlineStr">
        <is>
          <t>Provider interface</t>
        </is>
      </c>
      <c r="C12" s="21" t="inlineStr">
        <is>
          <t>GetOperationProperty</t>
        </is>
      </c>
      <c r="D12" s="27" t="inlineStr">
        <is>
          <t>No</t>
        </is>
      </c>
      <c r="E12" s="21" t="inlineStr">
        <is>
          <t>Blocked: no PKCS#11 mechanism</t>
        </is>
      </c>
      <c r="F12" s="30" t="inlineStr">
        <is>
          <t>Outside</t>
        </is>
      </c>
      <c r="G12" s="21" t="inlineStr">
        <is>
          <t>L</t>
        </is>
      </c>
      <c r="H12" s="22" t="inlineStr">
        <is>
          <t>Refused with NTE_NOT_SUPPORTED.</t>
        </is>
      </c>
      <c r="I12" s="22" t="inlineStr">
        <is>
          <t>The property reports on an asynchronous operation and PKCS#11 is synchronous, so there is no operation state to report however much code is written. This row sat in the deliberate column until the pairing check was run against its own text, which already said "a fact about PKCS#11 rather than about this code" — so it was mislabelled by the person who wrote the reason, and the cross-check is what caught it.</t>
        </is>
      </c>
      <c r="J12" s="22" t="inlineStr">
        <is>
          <t>Returns NTE_NOT_SUPPORTED. Only needed for overlapped I/O; PKCS#11 is synchronous so there is nothing to report.</t>
        </is>
      </c>
    </row>
    <row r="13">
      <c r="A13" s="24" t="inlineStr">
        <is>
          <t>OPS-05</t>
        </is>
      </c>
      <c r="B13" s="24" t="inlineStr">
        <is>
          <t>Operational</t>
        </is>
      </c>
      <c r="C13" s="24" t="inlineStr">
        <is>
          <t>Key attestation</t>
        </is>
      </c>
      <c r="D13" s="27" t="inlineStr">
        <is>
          <t>No</t>
        </is>
      </c>
      <c r="E13" s="24" t="inlineStr">
        <is>
          <t>Blocked: no PKCS#11 mechanism</t>
        </is>
      </c>
      <c r="F13" s="30" t="inlineStr">
        <is>
          <t>Outside</t>
        </is>
      </c>
      <c r="G13" s="24" t="inlineStr">
        <is>
          <t>L</t>
        </is>
      </c>
      <c r="H13" s="25" t="inlineStr">
        <is>
          <t>Nothing. Not advertised.</t>
        </is>
      </c>
      <c r="I13" s="25" t="inlineStr">
        <is>
          <t>Key attestation has no standard PKCS#11 mechanism. It is vendor-specific, so it is unreachable through a portable PKCS#11 layer by construction.</t>
        </is>
      </c>
      <c r="J13" s="25" t="inlineStr">
        <is>
          <t>No PKCS#11 standard mechanism exists. Vendor-specific and unreachable through a portable PKCS#11 layer.</t>
        </is>
      </c>
    </row>
    <row r="14">
      <c r="A14" s="21" t="inlineStr">
        <is>
          <t>PQC-03</t>
        </is>
      </c>
      <c r="B14" s="21" t="inlineStr">
        <is>
          <t>Post-quantum</t>
        </is>
      </c>
      <c r="C14" s="21" t="inlineStr">
        <is>
          <t>LMS / XMSS</t>
        </is>
      </c>
      <c r="D14" s="27" t="inlineStr">
        <is>
          <t>No</t>
        </is>
      </c>
      <c r="E14" s="21" t="inlineStr">
        <is>
          <t>Blocked: no PKCS#11 mechanism</t>
        </is>
      </c>
      <c r="F14" s="30" t="inlineStr">
        <is>
          <t>Outside</t>
        </is>
      </c>
      <c r="G14" s="21" t="inlineStr">
        <is>
          <t>L</t>
        </is>
      </c>
      <c r="H14" s="22" t="inlineStr">
        <is>
          <t>Nothing. Not advertised.</t>
        </is>
      </c>
      <c r="I14" s="22" t="inlineStr">
        <is>
          <t>No PKCS#11 v3.2 token surveyed implements LMS or XMSS, so unlike PQC-01 this is blocked at the backend. The stateful schemes also need one-time-key state persistence the KSP has no model for, and a lost state update forges signatures — a correctness hazard, not just missing code.</t>
        </is>
      </c>
      <c r="J14" s="22" t="inlineStr">
        <is>
          <t>Blocked at the backend, unlike PQC-01: no PKCS#11 v3.2 token surveyed implements LMS or XMSS. Stateful schemes also need one-time-key state persistence the KSP has no model for, and a lost state update forges signatures.</t>
        </is>
      </c>
    </row>
    <row r="15">
      <c r="A15" s="24" t="inlineStr">
        <is>
          <t>PROP-11</t>
        </is>
      </c>
      <c r="B15" s="24" t="inlineStr">
        <is>
          <t>Key properties</t>
        </is>
      </c>
      <c r="C15" s="24" t="inlineStr">
        <is>
          <t>NCRYPT_SECURITY_DESCR_PROPERTY</t>
        </is>
      </c>
      <c r="D15" s="27" t="inlineStr">
        <is>
          <t>No</t>
        </is>
      </c>
      <c r="E15" s="24" t="inlineStr">
        <is>
          <t>Blocked: no PKCS#11 mechanism</t>
        </is>
      </c>
      <c r="F15" s="30" t="inlineStr">
        <is>
          <t>Outside</t>
        </is>
      </c>
      <c r="G15" s="24" t="inlineStr">
        <is>
          <t>L</t>
        </is>
      </c>
      <c r="H15" s="25" t="inlineStr">
        <is>
          <t>Refused with NTE_NOT_SUPPORTED rather than accepted and ignored.</t>
        </is>
      </c>
      <c r="I15" s="25" t="inlineStr">
        <is>
          <t>PKCS#11 has no ACL model, so there is nothing to map an SDDL string onto. A side store from key label to descriptor would be this provider inventing an access control system it cannot enforce.</t>
        </is>
      </c>
      <c r="J15" s="25" t="inlineStr">
        <is>
          <t>Returns NTE_NOT_SUPPORTED. PKCS#11 has no ACL model; would need a side-channel store mapping key labels to SDDL strings.</t>
        </is>
      </c>
    </row>
    <row r="16">
      <c r="A16" s="21" t="inlineStr">
        <is>
          <t>PROP-16</t>
        </is>
      </c>
      <c r="B16" s="21" t="inlineStr">
        <is>
          <t>Key properties</t>
        </is>
      </c>
      <c r="C16" s="21" t="inlineStr">
        <is>
          <t>NCRYPT_USE_COUNT_PROPERTY</t>
        </is>
      </c>
      <c r="D16" s="27" t="inlineStr">
        <is>
          <t>No</t>
        </is>
      </c>
      <c r="E16" s="21" t="inlineStr">
        <is>
          <t>Blocked: no PKCS#11 mechanism</t>
        </is>
      </c>
      <c r="F16" s="30" t="inlineStr">
        <is>
          <t>Outside</t>
        </is>
      </c>
      <c r="G16" s="21" t="inlineStr">
        <is>
          <t>L</t>
        </is>
      </c>
      <c r="H16" s="22" t="inlineStr">
        <is>
          <t>Refused with NTE_NOT_SUPPORTED.</t>
        </is>
      </c>
      <c r="I16" s="22" t="inlineStr">
        <is>
          <t>No atomic counter primitive in PKCS#11 or SoftHSM2. A read-modify-write on an object attribute is not a use count under concurrency, and a wrong count is worse than no count.</t>
        </is>
      </c>
      <c r="J16" s="22" t="inlineStr">
        <is>
          <t>Would need a counter object on the token incremented per operation. SoftHSM2 has no atomic counter primitive.</t>
        </is>
      </c>
    </row>
    <row r="17">
      <c r="A17" s="24" t="inlineStr">
        <is>
          <t>OPS-01</t>
        </is>
      </c>
      <c r="B17" s="24" t="inlineStr">
        <is>
          <t>Operational</t>
        </is>
      </c>
      <c r="C17" s="24" t="inlineStr">
        <is>
          <t>Hardware key protection</t>
        </is>
      </c>
      <c r="D17" s="27" t="inlineStr">
        <is>
          <t>No</t>
        </is>
      </c>
      <c r="E17" s="24" t="inlineStr">
        <is>
          <t>Blocked: hardware / commercial</t>
        </is>
      </c>
      <c r="F17" s="30" t="inlineStr">
        <is>
          <t>Outside</t>
        </is>
      </c>
      <c r="G17" s="24" t="inlineStr">
        <is>
          <t>N/A</t>
        </is>
      </c>
      <c r="H17" s="25" t="inlineStr">
        <is>
          <t>Nothing, and it cannot: SoftHSM2 is a software token over encrypted SQLite. The provider reports NCRYPT_IMPL_SOFTWARE_FLAG, truthfully — it used to say hardware in the source while emitting the software value.</t>
        </is>
      </c>
      <c r="I17" s="25" t="inlineStr">
        <is>
          <t>Hardware. The PKCS#11 abstraction already allows pointing the KSP at a real HSM, so this closes by deployment rather than by code.</t>
        </is>
      </c>
      <c r="J17" s="25" t="inlineStr">
        <is>
          <t>Fundamental: SoftHSM2 is a software token using encrypted SQLite. Only fixable by pointing the KSP at a real HSM which the PKCS#11 abstraction already allows.</t>
        </is>
      </c>
    </row>
    <row r="18">
      <c r="A18" s="21" t="inlineStr">
        <is>
          <t>OPS-02</t>
        </is>
      </c>
      <c r="B18" s="21" t="inlineStr">
        <is>
          <t>Operational</t>
        </is>
      </c>
      <c r="C18" s="21" t="inlineStr">
        <is>
          <t>FIPS 140-2/3 validation</t>
        </is>
      </c>
      <c r="D18" s="27" t="inlineStr">
        <is>
          <t>No</t>
        </is>
      </c>
      <c r="E18" s="21" t="inlineStr">
        <is>
          <t>Blocked: hardware / commercial</t>
        </is>
      </c>
      <c r="F18" s="30" t="inlineStr">
        <is>
          <t>Outside</t>
        </is>
      </c>
      <c r="G18" s="21" t="inlineStr">
        <is>
          <t>N/A</t>
        </is>
      </c>
      <c r="H18" s="22" t="inlineStr">
        <is>
          <t>Nothing.</t>
        </is>
      </c>
      <c r="I18" s="22" t="inlineStr">
        <is>
          <t>Certified hardware and a formal validation programme. Follows from OPS-01 and is not an engineering task.</t>
        </is>
      </c>
      <c r="J18" s="22" t="inlineStr">
        <is>
          <t>Follows from OPS-01. Requires certified hardware and a formal validation programme.</t>
        </is>
      </c>
    </row>
    <row r="19">
      <c r="A19" s="24" t="inlineStr">
        <is>
          <t>OPS-03</t>
        </is>
      </c>
      <c r="B19" s="24" t="inlineStr">
        <is>
          <t>Operational</t>
        </is>
      </c>
      <c r="C19" s="24" t="inlineStr">
        <is>
          <t>Authenticode-signed binary</t>
        </is>
      </c>
      <c r="D19" s="27" t="inlineStr">
        <is>
          <t>No</t>
        </is>
      </c>
      <c r="E19" s="24" t="inlineStr">
        <is>
          <t>Blocked: hardware / commercial</t>
        </is>
      </c>
      <c r="F19" s="30" t="inlineStr">
        <is>
          <t>Outside</t>
        </is>
      </c>
      <c r="G19" s="24" t="inlineStr">
        <is>
          <t>N/A</t>
        </is>
      </c>
      <c r="H19" s="25" t="inlineStr">
        <is>
          <t>The signing pipeline is complete and self-tested: tools/sign_ksp.ps1 signs, timestamps and verifies, taking a certificate from the Windows store, a PFX whose password comes from the environment and never a parameter, or Azure Trusted Signing. CI signs automatically once the secret exists.</t>
        </is>
      </c>
      <c r="I19" s="25" t="inlineStr">
        <is>
          <t>An OV or EV code-signing certificate, which must be bought by a verified legal entity. Nothing in this repository can supply that, so the shipped binary is unsigned and the row stays Not covered.</t>
        </is>
      </c>
      <c r="J19" s="25" t="inlineStr">
        <is>
          <t>Signing is fully tooled: tools/sign_ksp.ps1 signs, timestamps and verifies, taking a certificate from the Windows store, a PFX (password from the environment, never a parameter) or Azure Trusted Signing, and the CI windows job signs automatically once the KSP_SIGN_PFX_BASE64 secret exists. What remains is not engineering: an OV or EV code-signing certificate must be bought by a verified legal entity. Nothing in this repository can supply that, so the row stays Not covered — the binary is unsigned.</t>
        </is>
      </c>
    </row>
    <row r="20">
      <c r="A20" s="21" t="inlineStr">
        <is>
          <t>OPS-06</t>
        </is>
      </c>
      <c r="B20" s="21" t="inlineStr">
        <is>
          <t>Operational</t>
        </is>
      </c>
      <c r="C20" s="21" t="inlineStr">
        <is>
          <t>Load balancing / HA</t>
        </is>
      </c>
      <c r="D20" s="27" t="inlineStr">
        <is>
          <t>No</t>
        </is>
      </c>
      <c r="E20" s="21" t="inlineStr">
        <is>
          <t>Blocked: hardware / commercial</t>
        </is>
      </c>
      <c r="F20" s="30" t="inlineStr">
        <is>
          <t>Outside</t>
        </is>
      </c>
      <c r="G20" s="21" t="inlineStr">
        <is>
          <t>N/A</t>
        </is>
      </c>
      <c r="H20" s="22" t="inlineStr">
        <is>
          <t>Nothing here, and nothing needs to: it is handled inside vendor PKCS#11 libraries.</t>
        </is>
      </c>
      <c r="I20" s="22" t="inlineStr">
        <is>
          <t>A vendor library. The provider inherits load balancing and failover automatically when pointed at one, so there is nothing to implement.</t>
        </is>
      </c>
      <c r="J20" s="22" t="inlineStr">
        <is>
          <t>Handled inside vendor PKCS#11 libraries. Our KSP would inherit it automatically when pointed at such a library; nothing to implement.</t>
        </is>
      </c>
    </row>
    <row r="21">
      <c r="A21" s="24" t="inlineStr">
        <is>
          <t>3DES-01</t>
        </is>
      </c>
      <c r="B21" s="24" t="inlineStr">
        <is>
          <t>Symmetric legacy</t>
        </is>
      </c>
      <c r="C21" s="24" t="inlineStr">
        <is>
          <t>3DES / DES</t>
        </is>
      </c>
      <c r="D21" s="27" t="inlineStr">
        <is>
          <t>No</t>
        </is>
      </c>
      <c r="E21" s="24" t="inlineStr">
        <is>
          <t>Deliberate position</t>
        </is>
      </c>
      <c r="F21" s="31" t="inlineStr">
        <is>
          <t>Our choice</t>
        </is>
      </c>
      <c r="G21" s="24" t="inlineStr">
        <is>
          <t>L</t>
        </is>
      </c>
      <c r="H21" s="25" t="inlineStr">
        <is>
          <t>Nothing, although SoftHSM2 implements fourteen DES mechanisms, so the backend is not the obstacle.</t>
        </is>
      </c>
      <c r="I21" s="25" t="inlineStr">
        <is>
          <t>Scope and age. Excluded from modern HLK requirements. Implementable at any time; deliberately not implemented.</t>
        </is>
      </c>
      <c r="J21" s="25" t="inlineStr">
        <is>
          <t>Deliberately out of scope. Deprecated and excluded from modern HLK requirements despite SoftHSM2 supporting 14 DES mechanisms.</t>
        </is>
      </c>
    </row>
    <row r="22">
      <c r="A22" s="21" t="inlineStr">
        <is>
          <t>AES-08</t>
        </is>
      </c>
      <c r="B22" s="21" t="inlineStr">
        <is>
          <t>Symmetric AES</t>
        </is>
      </c>
      <c r="C22" s="21" t="inlineStr">
        <is>
          <t>AES-CFB</t>
        </is>
      </c>
      <c r="D22" s="26" t="inlineStr">
        <is>
          <t>Partial</t>
        </is>
      </c>
      <c r="E22" s="21" t="inlineStr">
        <is>
          <t>Deliberate position</t>
        </is>
      </c>
      <c r="F22" s="31" t="inlineStr">
        <is>
          <t>Our choice</t>
        </is>
      </c>
      <c r="G22" s="21" t="inlineStr">
        <is>
          <t>M</t>
        </is>
      </c>
      <c r="H22" s="22" t="inlineStr">
        <is>
          <t>Both feedback sizes CNG can actually reach: the 8-bit default, and full-block through BCRYPT_MESSAGE_BLOCK_LENGTH. CKM_AES_CFB64 is mapped for a MessageBlockLength of 8. All gated on the capability probe and verified against a live token, which asserts the two sizes produce DIFFERENT ciphertext — a provider ignoring the property cannot pass.</t>
        </is>
      </c>
      <c r="I22" s="22" t="inlineStr">
        <is>
          <t>Two things, and only one of them is ours. The ASYMMETRY is external: CNG permits any feedback size up to the block, PKCS#11 defines mechanisms for four of them, and nothing here can add the missing ones. What is DELIBERATE is the handling — a size with no mechanism is refused rather than rounded to the nearest, because rounding would silently select a different cipher and produce ciphertext nothing else could decrypt. The row is classified as our decision because that refusal is the part a reader might want to argue with.</t>
        </is>
      </c>
      <c r="J22" s="22" t="inlineStr">
        <is>
          <t>Implemented and verified against a live token for both feedback sizes CNG can reach: the 8-bit default and full-block via MessageBlockLength. Partial because CNG permits any feedback size up to the block, while PKCS#11 defines mechanisms only for 1, 8, 64 and 128 bits; a size with no mechanism is refused rather than silently rounded to a different cipher.</t>
        </is>
      </c>
    </row>
    <row r="23">
      <c r="A23" s="24" t="inlineStr">
        <is>
          <t>DSA-01</t>
        </is>
      </c>
      <c r="B23" s="24" t="inlineStr">
        <is>
          <t>Asymmetric DSA</t>
        </is>
      </c>
      <c r="C23" s="24" t="inlineStr">
        <is>
          <t>DSA signing</t>
        </is>
      </c>
      <c r="D23" s="27" t="inlineStr">
        <is>
          <t>No</t>
        </is>
      </c>
      <c r="E23" s="24" t="inlineStr">
        <is>
          <t>Deliberate position</t>
        </is>
      </c>
      <c r="F23" s="31" t="inlineStr">
        <is>
          <t>Our choice</t>
        </is>
      </c>
      <c r="G23" s="24" t="inlineStr">
        <is>
          <t>L</t>
        </is>
      </c>
      <c r="H23" s="25" t="inlineStr">
        <is>
          <t>Nothing.</t>
        </is>
      </c>
      <c r="I23" s="25" t="inlineStr">
        <is>
          <t>Scope. Deprecated in modern Windows PKI and absent from every HSM KSP surveyed.</t>
        </is>
      </c>
      <c r="J23" s="25" t="inlineStr">
        <is>
          <t>Deliberately out of scope. Deprecated in modern Windows PKI and absent from every HSM KSP surveyed.</t>
        </is>
      </c>
    </row>
    <row r="24">
      <c r="A24" s="21" t="inlineStr">
        <is>
          <t>ECDH-06</t>
        </is>
      </c>
      <c r="B24" s="21" t="inlineStr">
        <is>
          <t>Key agreement</t>
        </is>
      </c>
      <c r="C24" s="21" t="inlineStr">
        <is>
          <t>Finite-field Diffie-Hellman</t>
        </is>
      </c>
      <c r="D24" s="27" t="inlineStr">
        <is>
          <t>No</t>
        </is>
      </c>
      <c r="E24" s="21" t="inlineStr">
        <is>
          <t>Deliberate position</t>
        </is>
      </c>
      <c r="F24" s="31" t="inlineStr">
        <is>
          <t>Our choice</t>
        </is>
      </c>
      <c r="G24" s="21" t="inlineStr">
        <is>
          <t>L</t>
        </is>
      </c>
      <c r="H24" s="22" t="inlineStr">
        <is>
          <t>Nothing. ECDH on nine curves covers the agreement surface.</t>
        </is>
      </c>
      <c r="I24" s="22" t="inlineStr">
        <is>
          <t>Scope. CKM_DH_PKCS_KEY_PAIR_GEN and CKM_DH_PKCS_DERIVE both exist, so this IS implementable — it is excluded because ECDH supersedes it and no surveyed HSM KSP exposes it. Of all the deliberate rows this is the one with the clearest path if a deployment ever needed it.</t>
        </is>
      </c>
      <c r="J24" s="22" t="inlineStr">
        <is>
          <t>Out of scope by choice. ECDH supersedes it and no surveyed HSM KSP exposes it. Would need CKM_DH_PKCS_KEY_PAIR_GEN plus CKM_DH_PKCS_DERIVE.</t>
        </is>
      </c>
    </row>
    <row r="25">
      <c r="A25" s="24" t="inlineStr">
        <is>
          <t>FMT-06</t>
        </is>
      </c>
      <c r="B25" s="24" t="inlineStr">
        <is>
          <t>Key formats</t>
        </is>
      </c>
      <c r="C25" s="24" t="inlineStr">
        <is>
          <t>Private key export</t>
        </is>
      </c>
      <c r="D25" s="27" t="inlineStr">
        <is>
          <t>No</t>
        </is>
      </c>
      <c r="E25" s="24" t="inlineStr">
        <is>
          <t>Deliberate position</t>
        </is>
      </c>
      <c r="F25" s="31" t="inlineStr">
        <is>
          <t>Our choice</t>
        </is>
      </c>
      <c r="G25" s="24" t="inlineStr">
        <is>
          <t>N/A</t>
        </is>
      </c>
      <c r="H25" s="25" t="inlineStr">
        <is>
          <t>Public key export in CNG blob format for every supported family. Private key export is refused with NTE_NOT_SUPPORTED.</t>
        </is>
      </c>
      <c r="I25" s="25" t="inlineStr">
        <is>
          <t>The HSM posture, enforced on the token rather than in the provider: keys are CKA_EXTRACTABLE=FALSE unless NCRYPT_EXPORT_POLICY_PROPERTY relaxes it, and even then only wrapped export opens. This is correct behaviour, not an unfinished feature.</t>
        </is>
      </c>
      <c r="J25" s="25" t="inlineStr">
        <is>
          <t>Refused by design with NTE_NOT_SUPPORTED. Keys are CKA_EXTRACTABLE=FALSE. This is correct HSM behaviour not a gap.</t>
        </is>
      </c>
    </row>
    <row r="26">
      <c r="A26" s="21" t="inlineStr">
        <is>
          <t>FMT-07</t>
        </is>
      </c>
      <c r="B26" s="21" t="inlineStr">
        <is>
          <t>Key formats</t>
        </is>
      </c>
      <c r="C26" s="21" t="inlineStr">
        <is>
          <t>Private key import</t>
        </is>
      </c>
      <c r="D26" s="27" t="inlineStr">
        <is>
          <t>No</t>
        </is>
      </c>
      <c r="E26" s="21" t="inlineStr">
        <is>
          <t>Deliberate position</t>
        </is>
      </c>
      <c r="F26" s="31" t="inlineStr">
        <is>
          <t>Our choice</t>
        </is>
      </c>
      <c r="G26" s="21" t="inlineStr">
        <is>
          <t>L</t>
        </is>
      </c>
      <c r="H26" s="22" t="inlineStr">
        <is>
          <t>Public key import creates a real CKO_PUBLIC_KEY; truncated and unknown-curve blobs are rejected rather than silently accepted. Symmetric key unwrap works and creates the key sensitive and non-extractable, so wrapping is a way IN and not a way back out.</t>
        </is>
      </c>
      <c r="I26" s="22" t="inlineStr">
        <is>
          <t>The HSM posture again. C_CreateObject with private material or C_UnwrapKey would both work, so this is a choice: a key the provider did not generate has an unknown history. Worth revisiting only if a migration workflow demands it.</t>
        </is>
      </c>
      <c r="J26" s="22" t="inlineStr">
        <is>
          <t>Returns NTE_NOT_SUPPORTED. Would need C_CreateObject with private material or C_UnwrapKey. Contradicts the HSM posture; only add if a migration workflow demands it.</t>
        </is>
      </c>
    </row>
    <row r="27">
      <c r="A27" s="24" t="inlineStr">
        <is>
          <t>FMT-09</t>
        </is>
      </c>
      <c r="B27" s="24" t="inlineStr">
        <is>
          <t>Key formats</t>
        </is>
      </c>
      <c r="C27" s="24" t="inlineStr">
        <is>
          <t>PKCS#8 blob</t>
        </is>
      </c>
      <c r="D27" s="27" t="inlineStr">
        <is>
          <t>No</t>
        </is>
      </c>
      <c r="E27" s="24" t="inlineStr">
        <is>
          <t>Deliberate position</t>
        </is>
      </c>
      <c r="F27" s="31" t="inlineStr">
        <is>
          <t>Our choice</t>
        </is>
      </c>
      <c r="G27" s="24" t="inlineStr">
        <is>
          <t>L</t>
        </is>
      </c>
      <c r="H27" s="25" t="inlineStr">
        <is>
          <t>Nothing: it is a private-key format.</t>
        </is>
      </c>
      <c r="I27" s="25" t="inlineStr">
        <is>
          <t>FMT-07, exactly. Same posture, same reconsideration trigger.</t>
        </is>
      </c>
      <c r="J27" s="25" t="inlineStr">
        <is>
          <t>Same constraint as FMT-07: it is a private-key format and keys are non-extractable.</t>
        </is>
      </c>
    </row>
    <row r="28">
      <c r="A28" s="21" t="inlineStr">
        <is>
          <t>IFACE-07</t>
        </is>
      </c>
      <c r="B28" s="21" t="inlineStr">
        <is>
          <t>Provider interface</t>
        </is>
      </c>
      <c r="C28" s="21" t="inlineStr">
        <is>
          <t>PromptUser</t>
        </is>
      </c>
      <c r="D28" s="27" t="inlineStr">
        <is>
          <t>No</t>
        </is>
      </c>
      <c r="E28" s="21" t="inlineStr">
        <is>
          <t>Deliberate position</t>
        </is>
      </c>
      <c r="F28" s="31" t="inlineStr">
        <is>
          <t>Our choice</t>
        </is>
      </c>
      <c r="G28" s="21" t="inlineStr">
        <is>
          <t>L</t>
        </is>
      </c>
      <c r="H28" s="22" t="inlineStr">
        <is>
          <t>Refused with NTE_NOT_SUPPORTED.</t>
        </is>
      </c>
      <c r="I28" s="22" t="inlineStr">
        <is>
          <t>A UI thread and a window handle. A KSP is loaded into whatever process called NCrypt, including services with no desktop, so prompting is a deployment decision rather than a capability to add unconditionally.</t>
        </is>
      </c>
      <c r="J28" s="22" t="inlineStr">
        <is>
          <t>Returns NTE_NOT_SUPPORTED. Would need a UI thread and a window handle from NCRYPT_WINDOW_HANDLE_PROPERTY.</t>
        </is>
      </c>
    </row>
    <row r="29">
      <c r="A29" s="24" t="inlineStr">
        <is>
          <t>PROP-12</t>
        </is>
      </c>
      <c r="B29" s="24" t="inlineStr">
        <is>
          <t>Key properties</t>
        </is>
      </c>
      <c r="C29" s="24" t="inlineStr">
        <is>
          <t>NCRYPT_UI_POLICY_PROPERTY</t>
        </is>
      </c>
      <c r="D29" s="27" t="inlineStr">
        <is>
          <t>No</t>
        </is>
      </c>
      <c r="E29" s="24" t="inlineStr">
        <is>
          <t>Deliberate position</t>
        </is>
      </c>
      <c r="F29" s="31" t="inlineStr">
        <is>
          <t>Our choice</t>
        </is>
      </c>
      <c r="G29" s="24" t="inlineStr">
        <is>
          <t>L</t>
        </is>
      </c>
      <c r="H29" s="25" t="inlineStr">
        <is>
          <t>Refused with NTE_NOT_SUPPORTED.</t>
        </is>
      </c>
      <c r="I29" s="25" t="inlineStr">
        <is>
          <t>IFACE-07. A UI policy with no prompt to govern would be a stored value nothing reads.</t>
        </is>
      </c>
      <c r="J29" s="25" t="inlineStr">
        <is>
          <t>Depends on PromptUser (IFACE-07). Same UI-thread requirement.</t>
        </is>
      </c>
    </row>
    <row r="30">
      <c r="A30" s="21" t="inlineStr">
        <is>
          <t>PROP-15</t>
        </is>
      </c>
      <c r="B30" s="21" t="inlineStr">
        <is>
          <t>Key properties</t>
        </is>
      </c>
      <c r="C30" s="21" t="inlineStr">
        <is>
          <t>NCRYPT_WINDOW_HANDLE_PROPERTY</t>
        </is>
      </c>
      <c r="D30" s="27" t="inlineStr">
        <is>
          <t>No</t>
        </is>
      </c>
      <c r="E30" s="21" t="inlineStr">
        <is>
          <t>Deliberate position</t>
        </is>
      </c>
      <c r="F30" s="31" t="inlineStr">
        <is>
          <t>Our choice</t>
        </is>
      </c>
      <c r="G30" s="21" t="inlineStr">
        <is>
          <t>L</t>
        </is>
      </c>
      <c r="H30" s="22" t="inlineStr">
        <is>
          <t>Refused with NTE_NOT_SUPPORTED.</t>
        </is>
      </c>
      <c r="I30" s="22" t="inlineStr">
        <is>
          <t>IFACE-07, for the same reason as PROP-12.</t>
        </is>
      </c>
      <c r="J30" s="22" t="inlineStr">
        <is>
          <t>Only meaningful with PromptUser (IFACE-07).</t>
        </is>
      </c>
    </row>
    <row r="31">
      <c r="A31" s="24" t="inlineStr">
        <is>
          <t>RSA-02</t>
        </is>
      </c>
      <c r="B31" s="24" t="inlineStr">
        <is>
          <t>Asymmetric RSA</t>
        </is>
      </c>
      <c r="C31" s="24" t="inlineStr">
        <is>
          <t>RSA 1024 and below</t>
        </is>
      </c>
      <c r="D31" s="26" t="inlineStr">
        <is>
          <t>Partial</t>
        </is>
      </c>
      <c r="E31" s="24" t="inlineStr">
        <is>
          <t>Deliberate position</t>
        </is>
      </c>
      <c r="F31" s="31" t="inlineStr">
        <is>
          <t>Our choice</t>
        </is>
      </c>
      <c r="G31" s="24" t="inlineStr">
        <is>
          <t>S</t>
        </is>
      </c>
      <c r="H31" s="25" t="inlineStr">
        <is>
          <t>Any multiple of 64 from KSP_RSA_MIN_BITS to 16384. A legacy build can lower the floor; the shipped default refuses below 2048 with NTE_BAD_LEN.</t>
        </is>
      </c>
      <c r="I31" s="25" t="inlineStr">
        <is>
          <t>A security choice, not a constraint: the mechanism exists and the code path works. Silently allowing 1024 would weaken every deployment that did not ask for it, so it is an opt-in at build time rather than a refusal.</t>
        </is>
      </c>
      <c r="J31" s="25" t="inlineStr">
        <is>
          <t>Build-time opt-in only. KSP_RSA_MIN_BITS defaults to 2048; a legacy build can lower it, but the shipped default still rejects &lt;2048 with NTE_BAD_LEN. Deliberate: silently allowing 1024 would weaken every deployment.</t>
        </is>
      </c>
    </row>
    <row r="33">
      <c r="A33" s="32" t="inlineStr">
        <is>
          <t>Gaps outside this matrix’s scope</t>
        </is>
      </c>
    </row>
    <row r="34" ht="30" customHeight="1">
      <c r="A34" s="2" t="inlineStr">
        <is>
          <t>The matrix tracks capabilities observed across shipping CNG KSPs — the market. A defect in this provider’s OWN conformance surface is not one of those, so no row here would ever point at it. That blind spot has now cost three findings, so they are listed explicitly.</t>
        </is>
      </c>
    </row>
    <row r="36">
      <c r="A36" s="33" t="inlineStr">
        <is>
          <t>Gap</t>
        </is>
      </c>
      <c r="B36" s="33" t="inlineStr">
        <is>
          <t>Detail</t>
        </is>
      </c>
      <c r="C36" s="33" t="inlineStr">
        <is>
          <t>How it was found</t>
        </is>
      </c>
      <c r="D36" s="33" t="inlineStr">
        <is>
          <t>Status</t>
        </is>
      </c>
    </row>
    <row r="37" ht="58" customHeight="1">
      <c r="A37" s="9" t="inlineStr">
        <is>
          <t>Key-scoped function table slots are unverifiable</t>
        </is>
      </c>
      <c r="B37" s="9" t="inlineStr">
        <is>
          <t>The mock types every slot as void *, so a wrong parameter TYPE is not a build error on Linux, and MSVC cannot compile ksp_main.c without ncrypt_provider.h. Eight provider-scoped slots are now checked against &lt;ncrypt.h&gt;; key-scoped ones cannot be, because the public prototype is not the slot's shape.</t>
        </is>
      </c>
      <c r="C37" s="9" t="inlineStr">
        <is>
          <t>Session 14, by asking why KSP_NotifyChangeKey had survived with the wrong parameter type.</t>
        </is>
      </c>
      <c r="D37" s="9" t="inlineStr">
        <is>
          <t>Tracked as TABLE-01, which is the one matrix row that does cover a conformance question rather than a capability.</t>
        </is>
      </c>
    </row>
  </sheetData>
  <autoFilter ref="A1:J31"/>
  <mergeCells count="1">
    <mergeCell ref="A34:J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00" customWidth="1" min="2" max="2"/>
  </cols>
  <sheetData>
    <row r="1">
      <c r="A1" s="28" t="inlineStr">
        <is>
          <t>How to read this workbook</t>
        </is>
      </c>
    </row>
    <row r="3">
      <c r="A3" s="32" t="inlineStr">
        <is>
          <t>Supported</t>
        </is>
      </c>
    </row>
    <row r="4" ht="34" customHeight="1">
      <c r="A4" s="34" t="inlineStr">
        <is>
          <t>Yes</t>
        </is>
      </c>
      <c r="B4" s="35" t="inlineStr">
        <is>
          <t>Implemented and exercised by the test suites. No known gap against the capabilities observed in shipping CNG KSPs.</t>
        </is>
      </c>
    </row>
    <row r="5" ht="34" customHeight="1">
      <c r="A5" s="34" t="inlineStr">
        <is>
          <t>Partial</t>
        </is>
      </c>
      <c r="B5" s="35" t="inlineStr">
        <is>
          <t>Implemented and usable with a stated limit: a provider-specific identifier no stock application will ask for, a deliberate refusal, or one working direction of a two-way feature.</t>
        </is>
      </c>
    </row>
    <row r="6" ht="34" customHeight="1">
      <c r="A6" s="34" t="inlineStr">
        <is>
          <t>No</t>
        </is>
      </c>
      <c r="B6" s="35" t="inlineStr">
        <is>
          <t>Not implemented. Each carries a recorded reason — see "Why still open".</t>
        </is>
      </c>
    </row>
    <row r="8">
      <c r="A8" s="32" t="inlineStr">
        <is>
          <t>Evidence grade</t>
        </is>
      </c>
    </row>
    <row r="9" ht="34" customHeight="1">
      <c r="A9" s="34" t="inlineStr">
        <is>
          <t>A</t>
        </is>
      </c>
      <c r="B9" s="35" t="inlineStr">
        <is>
          <t>Established inside this repository — read from the source, a header, or proven by a test. The strongest grade and the only one used for this provider's own behaviour.</t>
        </is>
      </c>
    </row>
    <row r="10" ht="34" customHeight="1">
      <c r="A10" s="34" t="inlineStr">
        <is>
          <t>B</t>
        </is>
      </c>
      <c r="B10" s="35" t="inlineStr">
        <is>
          <t>Vendor documentation or a documentation mirror. Used for what other products do.</t>
        </is>
      </c>
    </row>
    <row r="11" ht="34" customHeight="1">
      <c r="A11" s="34" t="inlineStr">
        <is>
          <t>C</t>
        </is>
      </c>
      <c r="B11" s="35" t="inlineStr">
        <is>
          <t>Inference from indirect sources. Used sparingly and never for a claim about this provider.</t>
        </is>
      </c>
    </row>
    <row r="13">
      <c r="A13" s="32" t="inlineStr">
        <is>
          <t>Effort</t>
        </is>
      </c>
    </row>
    <row r="14" ht="34" customHeight="1">
      <c r="A14" s="34" t="inlineStr">
        <is>
          <t>S / M / L</t>
        </is>
      </c>
      <c r="B14" s="35" t="inlineStr">
        <is>
          <t>Rough size of the remedy IF it were unblocked. It is not a schedule, and a small effort behind a hard blocker is still not startable — TABLE-01 is S and needs a Windows machine.</t>
        </is>
      </c>
    </row>
    <row r="15" ht="34" customHeight="1">
      <c r="A15" s="34" t="inlineStr">
        <is>
          <t>(blank)</t>
        </is>
      </c>
      <c r="B15" s="35" t="inlineStr">
        <is>
          <t>No remedy is planned: the row is a deliberate position or an external blocker.</t>
        </is>
      </c>
    </row>
    <row r="17">
      <c r="A17" s="32" t="inlineStr">
        <is>
          <t>Test layers behind "Yes"</t>
        </is>
      </c>
    </row>
    <row r="18" ht="34" customHeight="1">
      <c r="A18" s="34" t="inlineStr">
        <is>
          <t>Layer 1</t>
        </is>
      </c>
      <c r="B18" s="35" t="inlineStr">
        <is>
          <t>22 unit suites, 1816 assertions, Linux/GCC against a controllable PKCS#11 mock. Pins down the provider's logic; cannot validate assumptions about real tokens.</t>
        </is>
      </c>
    </row>
    <row r="19" ht="34" customHeight="1">
      <c r="A19" s="34" t="inlineStr">
        <is>
          <t>Layer 1b</t>
        </is>
      </c>
      <c r="B19" s="35" t="inlineStr">
        <is>
          <t>The same provider sources against Kryoptic, an independent PKCS#11 token in Rust. 256 assertions, run twice against one token so anything left behind is caught. Plus 33 concurrency assertions across 32 threads under ThreadSanitizer, and - behind TWO tokens on one module - 53 for token selection and 28 for per-scope isolation, because a single token cannot tell a working selection from an ignored one.</t>
        </is>
      </c>
    </row>
    <row r="20" ht="34" customHeight="1">
      <c r="A20" s="34" t="inlineStr">
        <is>
          <t>Layer 2 / 3</t>
        </is>
      </c>
      <c r="B20" s="35" t="inlineStr">
        <is>
          <t>Windows integration and HLK-conformant PowerShell suites. Written and syntax-checked; they need a Windows machine with SoftHSM2 to execute.</t>
        </is>
      </c>
    </row>
    <row r="22">
      <c r="A22" s="32" t="inlineStr">
        <is>
          <t>Scope</t>
        </is>
      </c>
    </row>
    <row r="23" ht="34" customHeight="1">
      <c r="A23" s="34" t="inlineStr">
        <is>
          <t>What this measures</t>
        </is>
      </c>
      <c r="B23" s="35" t="inlineStr">
        <is>
          <t>The CNG key-storage surface, as observed across Microsoft Software/Platform Crypto, AWS CloudHSM, Utimaco, Thales, Entrust and Securosys, assessed against this provider.</t>
        </is>
      </c>
    </row>
    <row r="24" ht="34" customHeight="1">
      <c r="A24" s="34" t="inlineStr">
        <is>
          <t>What it does not</t>
        </is>
      </c>
      <c r="B24" s="35" t="inlineStr">
        <is>
          <t>Performance, deployment, packaging, and anything about the SoftHSM2 token itself beyond what the provider depends on.</t>
        </is>
      </c>
    </row>
    <row r="26">
      <c r="A26" s="32" t="inlineStr">
        <is>
          <t>Provenance</t>
        </is>
      </c>
    </row>
    <row r="27" ht="46" customHeight="1">
      <c r="A27" s="34" t="inlineStr">
        <is>
          <t>Content fingerprint: 6ae4217b85c8</t>
        </is>
      </c>
      <c r="B27" s="35" t="inlineStr">
        <is>
          <t>A digest of feature-matrix.csv, coverage_blockers.py, gap_detail.py and this workbook’s generator. tests/check_generated_artifacts.py recomputes it: if the matrix was edited and the workbook was not regenerated, the two disagree and CI fails. Byte-comparing the file itself cannot work — an xlsx is a zip, and neither member order nor timestamps are stable.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2026-10-17T20:48:56Z</dcterms:created>
  <dcterms:modified xmlns:dcterms="http://purl.org/dc/terms/" xmlns:xsi="http://www.w3.org/2001/XMLSchema-instance" xsi:type="dcterms:W3CDTF">2026-10-17T20:48:56Z</dcterms:modified>
</cp:coreProperties>
</file>