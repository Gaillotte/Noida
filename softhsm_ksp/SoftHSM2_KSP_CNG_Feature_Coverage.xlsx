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Matrix'!$A$1:$K$105</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2026-10-17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Matrix'!A2:A105)</f>
        <v>104</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Matrix'!E2:E105,"Yes")</f>
        <v>74</v>
      </c>
      <c r="C8" s="12">
        <f>B8/$B$7</f>
        <v>0.7115384615384616</v>
      </c>
      <c r="D8" s="9" t="inlineStr">
        <is>
          <t>Implemented and exercised by the test suites. No known gap against the surveyed market.</t>
        </is>
      </c>
    </row>
    <row r="9" ht="30" customHeight="1">
      <c r="A9" s="10" t="inlineStr">
        <is>
          <t>Partial — works with a caveat</t>
        </is>
      </c>
      <c r="B9" s="13">
        <f>COUNTIF('CNG Feature Matrix'!E2:E105,"Partial")</f>
        <v>10</v>
      </c>
      <c r="C9" s="12">
        <f>B9/$B$7</f>
        <v>0.09615384615384616</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Matrix'!E2:E105,"No")</f>
        <v>20</v>
      </c>
      <c r="C10" s="12">
        <f>B10/$B$7</f>
        <v>0.19230769230769232</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Matrix'!H2:H105,A15)</f>
        <v>11</v>
      </c>
      <c r="C15" s="12">
        <f>IFERROR(B15/(COUNTIF('CNG Feature Matrix'!E2:E105,"Partial")+COUNTIF('CNG Feature Matrix'!E2:E105,"No")),0)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Matrix'!H2:H105,A16)</f>
        <v>7</v>
      </c>
      <c r="C16" s="12">
        <f>IFERROR(B16/(COUNTIF('CNG Feature Matrix'!E2:E105,"Partial")+COUNTIF('CNG Feature Matrix'!E2:E105,"No")),0)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Matrix'!H2:H105,A17)</f>
        <v>5</v>
      </c>
      <c r="C17" s="12">
        <f>IFERROR(B17/(COUNTIF('CNG Feature Matrix'!E2:E105,"Partial")+COUNTIF('CNG Feature Matrix'!E2:E105,"No")),0)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Matrix'!H2:H105,A18)</f>
        <v>4</v>
      </c>
      <c r="C18" s="12">
        <f>IFERROR(B18/(COUNTIF('CNG Feature Matrix'!E2:E105,"Partial")+COUNTIF('CNG Feature Matrix'!E2:E105,"No")),0)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Matrix'!H2:H105,A19)</f>
        <v>3</v>
      </c>
      <c r="C19" s="12">
        <f>IFERROR(B19/(COUNTIF('CNG Feature Matrix'!E2:E105,"Partial")+COUNTIF('CNG Feature Matrix'!E2:E105,"No")),0)</f>
        <v>0.1</v>
      </c>
      <c r="D19" s="9" t="inlineStr">
        <is>
          <t>Needs the CPDK header and a Windows machine. THE HIGHEST-VALUE ITEM HERE — see the caveat below.</t>
        </is>
      </c>
    </row>
    <row r="20">
      <c r="A20" s="16" t="inlineStr">
        <is>
          <t>Total open</t>
        </is>
      </c>
      <c r="B20" s="7">
        <f>(COUNTIF('CNG Feature Matrix'!E2:E105,"Partial")+COUNTIF('CNG Feature Matrix'!E2:E105,"No"))</f>
        <v>30</v>
      </c>
      <c r="C20" s="17">
        <f>IFERROR(B20/$B$7,0)</f>
        <v>0.28846153846153844</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PROP-19</t>
        </is>
      </c>
      <c r="B85" s="24" t="inlineStr">
        <is>
          <t>Key properties</t>
        </is>
      </c>
      <c r="C85" s="24" t="inlineStr">
        <is>
          <t>NCRYPT_LENGTHS_PROPERTY</t>
        </is>
      </c>
      <c r="D85" s="25" t="inlineStr">
        <is>
          <t>Supported key sizes for the algorithm (NCRYPT_SUPPORTED_LENGTHS)</t>
        </is>
      </c>
      <c r="E85" s="23" t="inlineStr">
        <is>
          <t>Yes</t>
        </is>
      </c>
      <c r="F85" s="24" t="inlineStr">
        <is>
          <t>Covered</t>
        </is>
      </c>
      <c r="G85" s="24" t="inlineStr">
        <is>
          <t>A</t>
        </is>
      </c>
      <c r="H85" s="24" t="inlineStr"/>
      <c r="I85" s="24" t="inlineStr"/>
      <c r="J85" s="25" t="inlineStr">
        <is>
          <t>All providers</t>
        </is>
      </c>
      <c r="K85" s="25" t="inlineStr"/>
    </row>
    <row r="86">
      <c r="A86" s="21" t="inlineStr">
        <is>
          <t>LIFE-01</t>
        </is>
      </c>
      <c r="B86" s="21" t="inlineStr">
        <is>
          <t>Key lifecycle</t>
        </is>
      </c>
      <c r="C86" s="21" t="inlineStr">
        <is>
          <t>CreatePersistedKey</t>
        </is>
      </c>
      <c r="D86" s="22" t="inlineStr">
        <is>
          <t>Immediate and deferred generation</t>
        </is>
      </c>
      <c r="E86" s="23" t="inlineStr">
        <is>
          <t>Yes</t>
        </is>
      </c>
      <c r="F86" s="21" t="inlineStr">
        <is>
          <t>Covered</t>
        </is>
      </c>
      <c r="G86" s="21" t="inlineStr">
        <is>
          <t>A</t>
        </is>
      </c>
      <c r="H86" s="21" t="inlineStr"/>
      <c r="I86" s="21" t="inlineStr"/>
      <c r="J86" s="22" t="inlineStr">
        <is>
          <t>All providers</t>
        </is>
      </c>
      <c r="K86" s="22" t="inlineStr"/>
    </row>
    <row r="87">
      <c r="A87" s="24" t="inlineStr">
        <is>
          <t>LIFE-02</t>
        </is>
      </c>
      <c r="B87" s="24" t="inlineStr">
        <is>
          <t>Key lifecycle</t>
        </is>
      </c>
      <c r="C87" s="24" t="inlineStr">
        <is>
          <t>FinalizeKey</t>
        </is>
      </c>
      <c r="D87" s="25" t="inlineStr">
        <is>
          <t>Deferred generation trigger</t>
        </is>
      </c>
      <c r="E87" s="23" t="inlineStr">
        <is>
          <t>Yes</t>
        </is>
      </c>
      <c r="F87" s="24" t="inlineStr">
        <is>
          <t>Covered</t>
        </is>
      </c>
      <c r="G87" s="24" t="inlineStr">
        <is>
          <t>A</t>
        </is>
      </c>
      <c r="H87" s="24" t="inlineStr"/>
      <c r="I87" s="24" t="inlineStr"/>
      <c r="J87" s="25" t="inlineStr">
        <is>
          <t>All providers</t>
        </is>
      </c>
      <c r="K87" s="25" t="inlineStr"/>
    </row>
    <row r="88">
      <c r="A88" s="21" t="inlineStr">
        <is>
          <t>LIFE-03</t>
        </is>
      </c>
      <c r="B88" s="21" t="inlineStr">
        <is>
          <t>Key lifecycle</t>
        </is>
      </c>
      <c r="C88" s="21" t="inlineStr">
        <is>
          <t>OpenKey by name</t>
        </is>
      </c>
      <c r="D88" s="22" t="inlineStr">
        <is>
          <t>Asymmetric and symmetric</t>
        </is>
      </c>
      <c r="E88" s="23" t="inlineStr">
        <is>
          <t>Yes</t>
        </is>
      </c>
      <c r="F88" s="21" t="inlineStr">
        <is>
          <t>Covered</t>
        </is>
      </c>
      <c r="G88" s="21" t="inlineStr">
        <is>
          <t>A</t>
        </is>
      </c>
      <c r="H88" s="21" t="inlineStr"/>
      <c r="I88" s="21" t="inlineStr"/>
      <c r="J88" s="22" t="inlineStr">
        <is>
          <t>All providers</t>
        </is>
      </c>
      <c r="K88" s="22" t="inlineStr"/>
    </row>
    <row r="89">
      <c r="A89" s="24" t="inlineStr">
        <is>
          <t>LIFE-04</t>
        </is>
      </c>
      <c r="B89" s="24" t="inlineStr">
        <is>
          <t>Key lifecycle</t>
        </is>
      </c>
      <c r="C89" s="24" t="inlineStr">
        <is>
          <t>DeleteKey</t>
        </is>
      </c>
      <c r="D89" s="25" t="inlineStr">
        <is>
          <t>Destroys all token objects</t>
        </is>
      </c>
      <c r="E89" s="23" t="inlineStr">
        <is>
          <t>Yes</t>
        </is>
      </c>
      <c r="F89" s="24" t="inlineStr">
        <is>
          <t>Covered</t>
        </is>
      </c>
      <c r="G89" s="24" t="inlineStr">
        <is>
          <t>A</t>
        </is>
      </c>
      <c r="H89" s="24" t="inlineStr"/>
      <c r="I89" s="24" t="inlineStr"/>
      <c r="J89" s="25" t="inlineStr">
        <is>
          <t>All providers</t>
        </is>
      </c>
      <c r="K89" s="25" t="inlineStr"/>
    </row>
    <row r="90">
      <c r="A90" s="21" t="inlineStr">
        <is>
          <t>LIFE-05</t>
        </is>
      </c>
      <c r="B90" s="21" t="inlineStr">
        <is>
          <t>Key lifecycle</t>
        </is>
      </c>
      <c r="C90" s="21" t="inlineStr">
        <is>
          <t>EnumKeys</t>
        </is>
      </c>
      <c r="D90" s="22" t="inlineStr">
        <is>
          <t>Paged enumeration with state</t>
        </is>
      </c>
      <c r="E90" s="23" t="inlineStr">
        <is>
          <t>Yes</t>
        </is>
      </c>
      <c r="F90" s="21" t="inlineStr">
        <is>
          <t>Covered</t>
        </is>
      </c>
      <c r="G90" s="21" t="inlineStr">
        <is>
          <t>A</t>
        </is>
      </c>
      <c r="H90" s="21" t="inlineStr"/>
      <c r="I90" s="21" t="inlineStr"/>
      <c r="J90" s="22" t="inlineStr">
        <is>
          <t>All providers</t>
        </is>
      </c>
      <c r="K90" s="22" t="inlineStr"/>
    </row>
    <row r="91">
      <c r="A91" s="24" t="inlineStr">
        <is>
          <t>LIFE-06</t>
        </is>
      </c>
      <c r="B91" s="24" t="inlineStr">
        <is>
          <t>Key lifecycle</t>
        </is>
      </c>
      <c r="C91" s="24" t="inlineStr">
        <is>
          <t>EnumAlgorithms</t>
        </is>
      </c>
      <c r="D91" s="25" t="inlineStr">
        <is>
          <t>NCryptEnumAlgorithms support</t>
        </is>
      </c>
      <c r="E91" s="23" t="inlineStr">
        <is>
          <t>Yes</t>
        </is>
      </c>
      <c r="F91" s="24" t="inlineStr">
        <is>
          <t>Covered</t>
        </is>
      </c>
      <c r="G91" s="24" t="inlineStr">
        <is>
          <t>B</t>
        </is>
      </c>
      <c r="H91" s="24" t="inlineStr"/>
      <c r="I91" s="24" t="inlineStr"/>
      <c r="J91" s="25" t="inlineStr">
        <is>
          <t>All providers</t>
        </is>
      </c>
      <c r="K91" s="25" t="inlineStr"/>
    </row>
    <row r="92">
      <c r="A92" s="21" t="inlineStr">
        <is>
          <t>LIFE-07</t>
        </is>
      </c>
      <c r="B92" s="21" t="inlineStr">
        <is>
          <t>Key lifecycle</t>
        </is>
      </c>
      <c r="C92" s="21" t="inlineStr">
        <is>
          <t>IsAlgSupported</t>
        </is>
      </c>
      <c r="D92" s="22" t="inlineStr">
        <is>
          <t>NCryptIsAlgSupported</t>
        </is>
      </c>
      <c r="E92" s="23" t="inlineStr">
        <is>
          <t>Yes</t>
        </is>
      </c>
      <c r="F92" s="21" t="inlineStr">
        <is>
          <t>Covered</t>
        </is>
      </c>
      <c r="G92" s="21" t="inlineStr">
        <is>
          <t>B</t>
        </is>
      </c>
      <c r="H92" s="21" t="inlineStr"/>
      <c r="I92" s="21" t="inlineStr"/>
      <c r="J92" s="22" t="inlineStr">
        <is>
          <t>All providers</t>
        </is>
      </c>
      <c r="K92" s="22" t="inlineStr"/>
    </row>
    <row r="93">
      <c r="A93" s="24" t="inlineStr">
        <is>
          <t>LIFE-08</t>
        </is>
      </c>
      <c r="B93" s="24" t="inlineStr">
        <is>
          <t>Key lifecycle</t>
        </is>
      </c>
      <c r="C93" s="24" t="inlineStr">
        <is>
          <t>Machine vs user key scope</t>
        </is>
      </c>
      <c r="D93" s="25"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3" s="23" t="inlineStr">
        <is>
          <t>Yes</t>
        </is>
      </c>
      <c r="F93" s="24" t="inlineStr">
        <is>
          <t>Covered</t>
        </is>
      </c>
      <c r="G93" s="24" t="inlineStr">
        <is>
          <t>A</t>
        </is>
      </c>
      <c r="H93" s="24" t="inlineStr"/>
      <c r="I93" s="24" t="inlineStr"/>
      <c r="J93" s="25" t="inlineStr">
        <is>
          <t>All providers</t>
        </is>
      </c>
      <c r="K93" s="25" t="inlineStr"/>
    </row>
    <row r="94">
      <c r="A94" s="21" t="inlineStr">
        <is>
          <t>OPS-01</t>
        </is>
      </c>
      <c r="B94" s="21" t="inlineStr">
        <is>
          <t>Operational</t>
        </is>
      </c>
      <c r="C94" s="21" t="inlineStr">
        <is>
          <t>Hardware key protection</t>
        </is>
      </c>
      <c r="D94" s="22" t="inlineStr">
        <is>
          <t>Tamper-resistant storage</t>
        </is>
      </c>
      <c r="E94" s="27" t="inlineStr">
        <is>
          <t>No</t>
        </is>
      </c>
      <c r="F94" s="21" t="inlineStr">
        <is>
          <t>Not covered</t>
        </is>
      </c>
      <c r="G94" s="21" t="inlineStr">
        <is>
          <t>A</t>
        </is>
      </c>
      <c r="H94" s="21" t="inlineStr">
        <is>
          <t>Blocked: hardware / commercial</t>
        </is>
      </c>
      <c r="I94" s="21" t="inlineStr">
        <is>
          <t>N/A</t>
        </is>
      </c>
      <c r="J94" s="22" t="inlineStr">
        <is>
          <t>All commercial providers</t>
        </is>
      </c>
      <c r="K94" s="22" t="inlineStr">
        <is>
          <t>Fundamental: SoftHSM2 is a software token using encrypted SQLite. Only fixable by pointing the KSP at a real HSM which the PKCS#11 abstraction already allows.</t>
        </is>
      </c>
    </row>
    <row r="95">
      <c r="A95" s="24" t="inlineStr">
        <is>
          <t>OPS-02</t>
        </is>
      </c>
      <c r="B95" s="24" t="inlineStr">
        <is>
          <t>Operational</t>
        </is>
      </c>
      <c r="C95" s="24" t="inlineStr">
        <is>
          <t>FIPS 140-2/3 validation</t>
        </is>
      </c>
      <c r="D95" s="25" t="inlineStr">
        <is>
          <t>Certified cryptographic module</t>
        </is>
      </c>
      <c r="E95" s="27" t="inlineStr">
        <is>
          <t>No</t>
        </is>
      </c>
      <c r="F95" s="24" t="inlineStr">
        <is>
          <t>Not covered</t>
        </is>
      </c>
      <c r="G95" s="24" t="inlineStr">
        <is>
          <t>B</t>
        </is>
      </c>
      <c r="H95" s="24" t="inlineStr">
        <is>
          <t>Blocked: hardware / commercial</t>
        </is>
      </c>
      <c r="I95" s="24" t="inlineStr">
        <is>
          <t>N/A</t>
        </is>
      </c>
      <c r="J95" s="25" t="inlineStr">
        <is>
          <t>All commercial providers</t>
        </is>
      </c>
      <c r="K95" s="25" t="inlineStr">
        <is>
          <t>Follows from OPS-01. Requires certified hardware and a formal validation programme.</t>
        </is>
      </c>
    </row>
    <row r="96">
      <c r="A96" s="21" t="inlineStr">
        <is>
          <t>OPS-03</t>
        </is>
      </c>
      <c r="B96" s="21" t="inlineStr">
        <is>
          <t>Operational</t>
        </is>
      </c>
      <c r="C96" s="21" t="inlineStr">
        <is>
          <t>Authenticode-signed binary</t>
        </is>
      </c>
      <c r="D96" s="22" t="inlineStr">
        <is>
          <t>Commercial code-signing certificate</t>
        </is>
      </c>
      <c r="E96" s="27" t="inlineStr">
        <is>
          <t>No</t>
        </is>
      </c>
      <c r="F96" s="21" t="inlineStr">
        <is>
          <t>Not covered</t>
        </is>
      </c>
      <c r="G96" s="21" t="inlineStr">
        <is>
          <t>A</t>
        </is>
      </c>
      <c r="H96" s="21" t="inlineStr">
        <is>
          <t>Blocked: hardware / commercial</t>
        </is>
      </c>
      <c r="I96" s="21" t="inlineStr">
        <is>
          <t>N/A</t>
        </is>
      </c>
      <c r="J96" s="22" t="inlineStr">
        <is>
          <t>All commercial providers</t>
        </is>
      </c>
      <c r="K96"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7">
      <c r="A97" s="24" t="inlineStr">
        <is>
          <t>OPS-04</t>
        </is>
      </c>
      <c r="B97" s="24" t="inlineStr">
        <is>
          <t>Operational</t>
        </is>
      </c>
      <c r="C97" s="24" t="inlineStr">
        <is>
          <t>Multiple slots / tokens</t>
        </is>
      </c>
      <c r="D97" s="25" t="inlineStr">
        <is>
          <t>Selecting among several tokens</t>
        </is>
      </c>
      <c r="E97" s="23" t="inlineStr">
        <is>
          <t>Yes</t>
        </is>
      </c>
      <c r="F97" s="24" t="inlineStr">
        <is>
          <t>Covered</t>
        </is>
      </c>
      <c r="G97" s="24" t="inlineStr">
        <is>
          <t>B</t>
        </is>
      </c>
      <c r="H97" s="24" t="inlineStr"/>
      <c r="I97" s="24" t="inlineStr"/>
      <c r="J97" s="25" t="inlineStr">
        <is>
          <t>All commercial providers</t>
        </is>
      </c>
      <c r="K97" s="25" t="inlineStr"/>
    </row>
    <row r="98">
      <c r="A98" s="21" t="inlineStr">
        <is>
          <t>OPS-05</t>
        </is>
      </c>
      <c r="B98" s="21" t="inlineStr">
        <is>
          <t>Operational</t>
        </is>
      </c>
      <c r="C98" s="21" t="inlineStr">
        <is>
          <t>Key attestation</t>
        </is>
      </c>
      <c r="D98" s="22" t="inlineStr">
        <is>
          <t>TPM / HSM-signed key origin proof</t>
        </is>
      </c>
      <c r="E98" s="27" t="inlineStr">
        <is>
          <t>No</t>
        </is>
      </c>
      <c r="F98" s="21" t="inlineStr">
        <is>
          <t>Not covered</t>
        </is>
      </c>
      <c r="G98" s="21" t="inlineStr">
        <is>
          <t>B</t>
        </is>
      </c>
      <c r="H98" s="21" t="inlineStr">
        <is>
          <t>Blocked: no PKCS#11 mechanism</t>
        </is>
      </c>
      <c r="I98" s="21" t="inlineStr">
        <is>
          <t>L</t>
        </is>
      </c>
      <c r="J98" s="22" t="inlineStr">
        <is>
          <t>MS Platform Crypto; some HSMs</t>
        </is>
      </c>
      <c r="K98" s="22" t="inlineStr">
        <is>
          <t>No PKCS#11 standard mechanism exists. Vendor-specific and unreachable through a portable PKCS#11 layer.</t>
        </is>
      </c>
    </row>
    <row r="99">
      <c r="A99" s="24" t="inlineStr">
        <is>
          <t>OPS-06</t>
        </is>
      </c>
      <c r="B99" s="24" t="inlineStr">
        <is>
          <t>Operational</t>
        </is>
      </c>
      <c r="C99" s="24" t="inlineStr">
        <is>
          <t>Load balancing / HA</t>
        </is>
      </c>
      <c r="D99" s="25" t="inlineStr">
        <is>
          <t>Multiple HSM members</t>
        </is>
      </c>
      <c r="E99" s="27" t="inlineStr">
        <is>
          <t>No</t>
        </is>
      </c>
      <c r="F99" s="24" t="inlineStr">
        <is>
          <t>Not covered</t>
        </is>
      </c>
      <c r="G99" s="24" t="inlineStr">
        <is>
          <t>C</t>
        </is>
      </c>
      <c r="H99" s="24" t="inlineStr">
        <is>
          <t>Blocked: hardware / commercial</t>
        </is>
      </c>
      <c r="I99" s="24" t="inlineStr">
        <is>
          <t>N/A</t>
        </is>
      </c>
      <c r="J99" s="25" t="inlineStr">
        <is>
          <t>Thales; Entrust</t>
        </is>
      </c>
      <c r="K99" s="25" t="inlineStr">
        <is>
          <t>Handled inside vendor PKCS#11 libraries. Our KSP would inherit it automatically when pointed at such a library; nothing to implement.</t>
        </is>
      </c>
    </row>
    <row r="100">
      <c r="A100" s="21" t="inlineStr">
        <is>
          <t>OPS-07</t>
        </is>
      </c>
      <c r="B100" s="21" t="inlineStr">
        <is>
          <t>Operational</t>
        </is>
      </c>
      <c r="C100" s="21" t="inlineStr">
        <is>
          <t>Session pool concurrency</t>
        </is>
      </c>
      <c r="D100" s="22" t="inlineStr">
        <is>
          <t>Concurrent NCrypt calls</t>
        </is>
      </c>
      <c r="E100" s="23" t="inlineStr">
        <is>
          <t>Yes</t>
        </is>
      </c>
      <c r="F100" s="21" t="inlineStr">
        <is>
          <t>Covered</t>
        </is>
      </c>
      <c r="G100" s="21" t="inlineStr">
        <is>
          <t>A</t>
        </is>
      </c>
      <c r="H100" s="21" t="inlineStr"/>
      <c r="I100" s="21" t="inlineStr"/>
      <c r="J100" s="22" t="inlineStr">
        <is>
          <t>All providers</t>
        </is>
      </c>
      <c r="K100" s="22" t="inlineStr"/>
    </row>
    <row r="101">
      <c r="A101" s="24" t="inlineStr">
        <is>
          <t>OPS-08</t>
        </is>
      </c>
      <c r="B101" s="24" t="inlineStr">
        <is>
          <t>Operational</t>
        </is>
      </c>
      <c r="C101" s="24" t="inlineStr">
        <is>
          <t>Re-initialisation without restart</t>
        </is>
      </c>
      <c r="D101" s="25" t="inlineStr">
        <is>
          <t>Recover from a bad DLL path</t>
        </is>
      </c>
      <c r="E101" s="23" t="inlineStr">
        <is>
          <t>Yes</t>
        </is>
      </c>
      <c r="F101" s="24" t="inlineStr">
        <is>
          <t>Covered</t>
        </is>
      </c>
      <c r="G101" s="24" t="inlineStr">
        <is>
          <t>A</t>
        </is>
      </c>
      <c r="H101" s="24" t="inlineStr"/>
      <c r="I101" s="24" t="inlineStr"/>
      <c r="J101" s="25" t="inlineStr">
        <is>
          <t>Vendor-specific</t>
        </is>
      </c>
      <c r="K101" s="25" t="inlineStr"/>
    </row>
    <row r="102">
      <c r="A102" s="21" t="inlineStr">
        <is>
          <t>OPS-09</t>
        </is>
      </c>
      <c r="B102" s="21" t="inlineStr">
        <is>
          <t>Operational</t>
        </is>
      </c>
      <c r="C102" s="21" t="inlineStr">
        <is>
          <t>PIN caching / re-login</t>
        </is>
      </c>
      <c r="D102" s="22" t="inlineStr">
        <is>
          <t>Session recovery after token logout</t>
        </is>
      </c>
      <c r="E102" s="23" t="inlineStr">
        <is>
          <t>Yes</t>
        </is>
      </c>
      <c r="F102" s="21" t="inlineStr">
        <is>
          <t>Covered</t>
        </is>
      </c>
      <c r="G102" s="21" t="inlineStr">
        <is>
          <t>C</t>
        </is>
      </c>
      <c r="H102" s="21" t="inlineStr"/>
      <c r="I102" s="21" t="inlineStr"/>
      <c r="J102" s="22" t="inlineStr">
        <is>
          <t>All commercial providers</t>
        </is>
      </c>
      <c r="K102" s="22" t="inlineStr"/>
    </row>
    <row r="103">
      <c r="A103" s="24" t="inlineStr">
        <is>
          <t>OPS-10</t>
        </is>
      </c>
      <c r="B103" s="24" t="inlineStr">
        <is>
          <t>Operational</t>
        </is>
      </c>
      <c r="C103" s="24" t="inlineStr">
        <is>
          <t>Logging / diagnostics</t>
        </is>
      </c>
      <c r="D103" s="25" t="inlineStr">
        <is>
          <t>Trace output for support</t>
        </is>
      </c>
      <c r="E103" s="23" t="inlineStr">
        <is>
          <t>Yes</t>
        </is>
      </c>
      <c r="F103" s="24" t="inlineStr">
        <is>
          <t>Covered</t>
        </is>
      </c>
      <c r="G103" s="24" t="inlineStr">
        <is>
          <t>A</t>
        </is>
      </c>
      <c r="H103" s="24" t="inlineStr"/>
      <c r="I103" s="24" t="inlineStr"/>
      <c r="J103" s="25" t="inlineStr">
        <is>
          <t>All providers</t>
        </is>
      </c>
      <c r="K103" s="25" t="inlineStr"/>
    </row>
    <row r="104">
      <c r="A104" s="21" t="inlineStr">
        <is>
          <t>OPS-13</t>
        </is>
      </c>
      <c r="B104" s="21" t="inlineStr">
        <is>
          <t>Operational</t>
        </is>
      </c>
      <c r="C104" s="21" t="inlineStr">
        <is>
          <t>Runtime capability discovery</t>
        </is>
      </c>
      <c r="D104" s="22" t="inlineStr">
        <is>
          <t>Advertised algorithms reflect what the token implements, not a compiled-in list</t>
        </is>
      </c>
      <c r="E104" s="23" t="inlineStr">
        <is>
          <t>Yes</t>
        </is>
      </c>
      <c r="F104" s="21" t="inlineStr">
        <is>
          <t>Covered</t>
        </is>
      </c>
      <c r="G104" s="21" t="inlineStr">
        <is>
          <t>A</t>
        </is>
      </c>
      <c r="H104" s="21" t="inlineStr"/>
      <c r="I104" s="21" t="inlineStr"/>
      <c r="J104" s="22" t="inlineStr">
        <is>
          <t>All commercial providers (implicit — each ships for its own device)</t>
        </is>
      </c>
      <c r="K104" s="22" t="inlineStr"/>
    </row>
    <row r="105">
      <c r="A105" s="24" t="inlineStr">
        <is>
          <t>OPS-14</t>
        </is>
      </c>
      <c r="B105" s="24" t="inlineStr">
        <is>
          <t>Operational</t>
        </is>
      </c>
      <c r="C105" s="24" t="inlineStr">
        <is>
          <t>Backend portability</t>
        </is>
      </c>
      <c r="D105" s="25" t="inlineStr">
        <is>
          <t>Any PKCS#11 v2.40+ module can back the provider (KSP_PKCS11_LIB)</t>
        </is>
      </c>
      <c r="E105" s="23" t="inlineStr">
        <is>
          <t>Yes</t>
        </is>
      </c>
      <c r="F105" s="24" t="inlineStr">
        <is>
          <t>Covered</t>
        </is>
      </c>
      <c r="G105" s="24" t="inlineStr">
        <is>
          <t>A</t>
        </is>
      </c>
      <c r="H105" s="24" t="inlineStr"/>
      <c r="I105" s="24" t="inlineStr"/>
      <c r="J105" s="25" t="inlineStr">
        <is>
          <t>Not offered — commercial providers are bound to their own hardware</t>
        </is>
      </c>
      <c r="K105" s="25" t="inlineStr"/>
    </row>
  </sheetData>
  <autoFilter ref="A1:K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Matrix'!B2:B105,$A4,'CNG Feature Matrix'!E2:E105,"Yes")</f>
        <v>0</v>
      </c>
      <c r="C4" s="29">
        <f>COUNTIFS('CNG Feature Matrix'!B2:B105,$A4,'CNG Feature Matrix'!E2:E105,"Partial")</f>
        <v>0</v>
      </c>
      <c r="D4" s="29">
        <f>COUNTIFS('CNG Feature Matrix'!B2:B105,$A4,'CNG Feature Matrix'!E2:E105,"No")</f>
        <v>1</v>
      </c>
      <c r="E4" s="15">
        <f>SUM(B4:D4)</f>
        <v>1.0</v>
      </c>
      <c r="F4" s="12">
        <f>IFERROR(B4/E4,0)</f>
        <v>0.0</v>
      </c>
    </row>
    <row r="5">
      <c r="A5" s="10" t="inlineStr">
        <is>
          <t>Asymmetric ECDSA</t>
        </is>
      </c>
      <c r="B5" s="29">
        <f>COUNTIFS('CNG Feature Matrix'!B2:B105,$A5,'CNG Feature Matrix'!E2:E105,"Yes")</f>
        <v>6</v>
      </c>
      <c r="C5" s="29">
        <f>COUNTIFS('CNG Feature Matrix'!B2:B105,$A5,'CNG Feature Matrix'!E2:E105,"Partial")</f>
        <v>0</v>
      </c>
      <c r="D5" s="29">
        <f>COUNTIFS('CNG Feature Matrix'!B2:B105,$A5,'CNG Feature Matrix'!E2:E105,"No")</f>
        <v>0</v>
      </c>
      <c r="E5" s="15">
        <f>SUM(B5:D5)</f>
        <v>6.0</v>
      </c>
      <c r="F5" s="12">
        <f>IFERROR(B5/E5,0)</f>
        <v>1.0</v>
      </c>
    </row>
    <row r="6">
      <c r="A6" s="10" t="inlineStr">
        <is>
          <t>Asymmetric EdDSA</t>
        </is>
      </c>
      <c r="B6" s="29">
        <f>COUNTIFS('CNG Feature Matrix'!B2:B105,$A6,'CNG Feature Matrix'!E2:E105,"Yes")</f>
        <v>1</v>
      </c>
      <c r="C6" s="29">
        <f>COUNTIFS('CNG Feature Matrix'!B2:B105,$A6,'CNG Feature Matrix'!E2:E105,"Partial")</f>
        <v>2</v>
      </c>
      <c r="D6" s="29">
        <f>COUNTIFS('CNG Feature Matrix'!B2:B105,$A6,'CNG Feature Matrix'!E2:E105,"No")</f>
        <v>0</v>
      </c>
      <c r="E6" s="15">
        <f>SUM(B6:D6)</f>
        <v>3.0</v>
      </c>
      <c r="F6" s="12">
        <f>IFERROR(B6/E6,0)</f>
        <v>0.3333333333333333</v>
      </c>
    </row>
    <row r="7">
      <c r="A7" s="10" t="inlineStr">
        <is>
          <t>Asymmetric RSA</t>
        </is>
      </c>
      <c r="B7" s="29">
        <f>COUNTIFS('CNG Feature Matrix'!B2:B105,$A7,'CNG Feature Matrix'!E2:E105,"Yes")</f>
        <v>11</v>
      </c>
      <c r="C7" s="29">
        <f>COUNTIFS('CNG Feature Matrix'!B2:B105,$A7,'CNG Feature Matrix'!E2:E105,"Partial")</f>
        <v>1</v>
      </c>
      <c r="D7" s="29">
        <f>COUNTIFS('CNG Feature Matrix'!B2:B105,$A7,'CNG Feature Matrix'!E2:E105,"No")</f>
        <v>0</v>
      </c>
      <c r="E7" s="15">
        <f>SUM(B7:D7)</f>
        <v>12.0</v>
      </c>
      <c r="F7" s="12">
        <f>IFERROR(B7/E7,0)</f>
        <v>0.9166666666666666</v>
      </c>
    </row>
    <row r="8">
      <c r="A8" s="10" t="inlineStr">
        <is>
          <t>Key agreement</t>
        </is>
      </c>
      <c r="B8" s="29">
        <f>COUNTIFS('CNG Feature Matrix'!B2:B105,$A8,'CNG Feature Matrix'!E2:E105,"Yes")</f>
        <v>5</v>
      </c>
      <c r="C8" s="29">
        <f>COUNTIFS('CNG Feature Matrix'!B2:B105,$A8,'CNG Feature Matrix'!E2:E105,"Partial")</f>
        <v>0</v>
      </c>
      <c r="D8" s="29">
        <f>COUNTIFS('CNG Feature Matrix'!B2:B105,$A8,'CNG Feature Matrix'!E2:E105,"No")</f>
        <v>1</v>
      </c>
      <c r="E8" s="15">
        <f>SUM(B8:D8)</f>
        <v>6.0</v>
      </c>
      <c r="F8" s="12">
        <f>IFERROR(B8/E8,0)</f>
        <v>0.8333333333333334</v>
      </c>
    </row>
    <row r="9">
      <c r="A9" s="10" t="inlineStr">
        <is>
          <t>Key formats</t>
        </is>
      </c>
      <c r="B9" s="29">
        <f>COUNTIFS('CNG Feature Matrix'!B2:B105,$A9,'CNG Feature Matrix'!E2:E105,"Yes")</f>
        <v>6</v>
      </c>
      <c r="C9" s="29">
        <f>COUNTIFS('CNG Feature Matrix'!B2:B105,$A9,'CNG Feature Matrix'!E2:E105,"Partial")</f>
        <v>0</v>
      </c>
      <c r="D9" s="29">
        <f>COUNTIFS('CNG Feature Matrix'!B2:B105,$A9,'CNG Feature Matrix'!E2:E105,"No")</f>
        <v>4</v>
      </c>
      <c r="E9" s="15">
        <f>SUM(B9:D9)</f>
        <v>10.0</v>
      </c>
      <c r="F9" s="12">
        <f>IFERROR(B9/E9,0)</f>
        <v>0.6</v>
      </c>
    </row>
    <row r="10">
      <c r="A10" s="10" t="inlineStr">
        <is>
          <t>Key lifecycle</t>
        </is>
      </c>
      <c r="B10" s="29">
        <f>COUNTIFS('CNG Feature Matrix'!B2:B105,$A10,'CNG Feature Matrix'!E2:E105,"Yes")</f>
        <v>8</v>
      </c>
      <c r="C10" s="29">
        <f>COUNTIFS('CNG Feature Matrix'!B2:B105,$A10,'CNG Feature Matrix'!E2:E105,"Partial")</f>
        <v>0</v>
      </c>
      <c r="D10" s="29">
        <f>COUNTIFS('CNG Feature Matrix'!B2:B105,$A10,'CNG Feature Matrix'!E2:E105,"No")</f>
        <v>0</v>
      </c>
      <c r="E10" s="15">
        <f>SUM(B10:D10)</f>
        <v>8.0</v>
      </c>
      <c r="F10" s="12">
        <f>IFERROR(B10/E10,0)</f>
        <v>1.0</v>
      </c>
    </row>
    <row r="11">
      <c r="A11" s="10" t="inlineStr">
        <is>
          <t>Key properties</t>
        </is>
      </c>
      <c r="B11" s="29">
        <f>COUNTIFS('CNG Feature Matrix'!B2:B105,$A11,'CNG Feature Matrix'!E2:E105,"Yes")</f>
        <v>14</v>
      </c>
      <c r="C11" s="29">
        <f>COUNTIFS('CNG Feature Matrix'!B2:B105,$A11,'CNG Feature Matrix'!E2:E105,"Partial")</f>
        <v>0</v>
      </c>
      <c r="D11" s="29">
        <f>COUNTIFS('CNG Feature Matrix'!B2:B105,$A11,'CNG Feature Matrix'!E2:E105,"No")</f>
        <v>4</v>
      </c>
      <c r="E11" s="15">
        <f>SUM(B11:D11)</f>
        <v>18.0</v>
      </c>
      <c r="F11" s="12">
        <f>IFERROR(B11/E11,0)</f>
        <v>0.7777777777777778</v>
      </c>
    </row>
    <row r="12">
      <c r="A12" s="10" t="inlineStr">
        <is>
          <t>Operational</t>
        </is>
      </c>
      <c r="B12" s="29">
        <f>COUNTIFS('CNG Feature Matrix'!B2:B105,$A12,'CNG Feature Matrix'!E2:E105,"Yes")</f>
        <v>7</v>
      </c>
      <c r="C12" s="29">
        <f>COUNTIFS('CNG Feature Matrix'!B2:B105,$A12,'CNG Feature Matrix'!E2:E105,"Partial")</f>
        <v>0</v>
      </c>
      <c r="D12" s="29">
        <f>COUNTIFS('CNG Feature Matrix'!B2:B105,$A12,'CNG Feature Matrix'!E2:E105,"No")</f>
        <v>5</v>
      </c>
      <c r="E12" s="15">
        <f>SUM(B12:D12)</f>
        <v>12.0</v>
      </c>
      <c r="F12" s="12">
        <f>IFERROR(B12/E12,0)</f>
        <v>0.5833333333333334</v>
      </c>
    </row>
    <row r="13">
      <c r="A13" s="10" t="inlineStr">
        <is>
          <t>Post-quantum</t>
        </is>
      </c>
      <c r="B13" s="29">
        <f>COUNTIFS('CNG Feature Matrix'!B2:B105,$A13,'CNG Feature Matrix'!E2:E105,"Yes")</f>
        <v>0</v>
      </c>
      <c r="C13" s="29">
        <f>COUNTIFS('CNG Feature Matrix'!B2:B105,$A13,'CNG Feature Matrix'!E2:E105,"Partial")</f>
        <v>1</v>
      </c>
      <c r="D13" s="29">
        <f>COUNTIFS('CNG Feature Matrix'!B2:B105,$A13,'CNG Feature Matrix'!E2:E105,"No")</f>
        <v>2</v>
      </c>
      <c r="E13" s="15">
        <f>SUM(B13:D13)</f>
        <v>3.0</v>
      </c>
      <c r="F13" s="12">
        <f>IFERROR(B13/E13,0)</f>
        <v>0.0</v>
      </c>
    </row>
    <row r="14">
      <c r="A14" s="10" t="inlineStr">
        <is>
          <t>Provider interface</t>
        </is>
      </c>
      <c r="B14" s="29">
        <f>COUNTIFS('CNG Feature Matrix'!B2:B105,$A14,'CNG Feature Matrix'!E2:E105,"Yes")</f>
        <v>7</v>
      </c>
      <c r="C14" s="29">
        <f>COUNTIFS('CNG Feature Matrix'!B2:B105,$A14,'CNG Feature Matrix'!E2:E105,"Partial")</f>
        <v>3</v>
      </c>
      <c r="D14" s="29">
        <f>COUNTIFS('CNG Feature Matrix'!B2:B105,$A14,'CNG Feature Matrix'!E2:E105,"No")</f>
        <v>2</v>
      </c>
      <c r="E14" s="15">
        <f>SUM(B14:D14)</f>
        <v>12.0</v>
      </c>
      <c r="F14" s="12">
        <f>IFERROR(B14/E14,0)</f>
        <v>0.5833333333333334</v>
      </c>
    </row>
    <row r="15">
      <c r="A15" s="10" t="inlineStr">
        <is>
          <t>Symmetric AES</t>
        </is>
      </c>
      <c r="B15" s="29">
        <f>COUNTIFS('CNG Feature Matrix'!B2:B105,$A15,'CNG Feature Matrix'!E2:E105,"Yes")</f>
        <v>8</v>
      </c>
      <c r="C15" s="29">
        <f>COUNTIFS('CNG Feature Matrix'!B2:B105,$A15,'CNG Feature Matrix'!E2:E105,"Partial")</f>
        <v>2</v>
      </c>
      <c r="D15" s="29">
        <f>COUNTIFS('CNG Feature Matrix'!B2:B105,$A15,'CNG Feature Matrix'!E2:E105,"No")</f>
        <v>0</v>
      </c>
      <c r="E15" s="15">
        <f>SUM(B15:D15)</f>
        <v>10.0</v>
      </c>
      <c r="F15" s="12">
        <f>IFERROR(B15/E15,0)</f>
        <v>0.8</v>
      </c>
    </row>
    <row r="16">
      <c r="A16" s="10" t="inlineStr">
        <is>
          <t>Symmetric MAC</t>
        </is>
      </c>
      <c r="B16" s="29">
        <f>COUNTIFS('CNG Feature Matrix'!B2:B105,$A16,'CNG Feature Matrix'!E2:E105,"Yes")</f>
        <v>1</v>
      </c>
      <c r="C16" s="29">
        <f>COUNTIFS('CNG Feature Matrix'!B2:B105,$A16,'CNG Feature Matrix'!E2:E105,"Partial")</f>
        <v>1</v>
      </c>
      <c r="D16" s="29">
        <f>COUNTIFS('CNG Feature Matrix'!B2:B105,$A16,'CNG Feature Matrix'!E2:E105,"No")</f>
        <v>0</v>
      </c>
      <c r="E16" s="15">
        <f>SUM(B16:D16)</f>
        <v>2.0</v>
      </c>
      <c r="F16" s="12">
        <f>IFERROR(B16/E16,0)</f>
        <v>0.5</v>
      </c>
    </row>
    <row r="17">
      <c r="A17" s="10" t="inlineStr">
        <is>
          <t>Symmetric legacy</t>
        </is>
      </c>
      <c r="B17" s="29">
        <f>COUNTIFS('CNG Feature Matrix'!B2:B105,$A17,'CNG Feature Matrix'!E2:E105,"Yes")</f>
        <v>0</v>
      </c>
      <c r="C17" s="29">
        <f>COUNTIFS('CNG Feature Matrix'!B2:B105,$A17,'CNG Feature Matrix'!E2:E105,"Partial")</f>
        <v>0</v>
      </c>
      <c r="D17" s="29">
        <f>COUNTIFS('CNG Feature Matrix'!B2:B105,$A17,'CNG Feature Matrix'!E2:E105,"No")</f>
        <v>1</v>
      </c>
      <c r="E17" s="15">
        <f>SUM(B17:D17)</f>
        <v>1.0</v>
      </c>
      <c r="F17" s="12">
        <f>IFERROR(B17/E17,0)</f>
        <v>0.0</v>
      </c>
    </row>
    <row r="18">
      <c r="A18" s="16" t="inlineStr">
        <is>
          <t>All categories</t>
        </is>
      </c>
      <c r="B18" s="7">
        <f>SUM(B4:B17)</f>
        <v>74.0</v>
      </c>
      <c r="C18" s="7">
        <f>SUM(C4:C17)</f>
        <v>10.0</v>
      </c>
      <c r="D18" s="7">
        <f>SUM(D4:D17)</f>
        <v>20.0</v>
      </c>
      <c r="E18" s="7">
        <f>SUM(E4:E17)</f>
        <v>104.0</v>
      </c>
      <c r="F18" s="17">
        <f>IFERROR(B18/E18,0)</f>
        <v>0.7115384615384616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Key-scoped function table slots are unverifiable</t>
        </is>
      </c>
      <c r="B37"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7" s="9" t="inlineStr">
        <is>
          <t>Session 14, by asking why KSP_NotifyChangeKey had survived with the wrong parameter type.</t>
        </is>
      </c>
      <c r="D37"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row r="26">
      <c r="A26" s="32" t="inlineStr">
        <is>
          <t>Provenance</t>
        </is>
      </c>
    </row>
    <row r="27" ht="46" customHeight="1">
      <c r="A27" s="34" t="inlineStr">
        <is>
          <t>Content fingerprint: 95ac57998880</t>
        </is>
      </c>
      <c r="B27" s="35" t="inlineStr">
        <is>
          <t>A digest of feature-matrix.csv, coverage_blockers.py, gap_detail.py and this workbook’s generator. tests/check_generated_artifacts.py recomputes it: if the matrix was edited and the workbook was not regenerated, the two disagree and CI fails. Byte-comparing the file itself cannot work — an xlsx is a zip, and neither member order nor timestamps are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2026-10-17T17:42:00Z</dcterms:created>
  <dcterms:modified xmlns:dcterms="http://purl.org/dc/terms/" xmlns:xsi="http://www.w3.org/2001/XMLSchema-instance" xsi:type="dcterms:W3CDTF">2026-10-17T17:42:00Z</dcterms:modified>
</cp:coreProperties>
</file>